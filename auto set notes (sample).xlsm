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-1290" yWindow="210" windowWidth="10920" windowHeight="3420" tabRatio="1000" firstSheet="3" activeTab="3"/>
  </bookViews>
  <sheets>
    <sheet name="CT (OLD)" sheetId="4" state="hidden" r:id="rId1"/>
    <sheet name="BALANCE SHEET(unused)" sheetId="2" state="hidden" r:id="rId2"/>
    <sheet name="payment 2(unused)" sheetId="3" state="hidden" r:id="rId3"/>
    <sheet name="Notes" sheetId="5" r:id="rId4"/>
    <sheet name="Sheet1" sheetId="7" state="hidden" r:id="rId5"/>
    <sheet name="Local Intern Form (2)" sheetId="11" state="hidden" r:id="rId6"/>
  </sheets>
  <definedNames>
    <definedName name="credit">#REF!</definedName>
    <definedName name="debit">#REF!</definedName>
    <definedName name="IME">#REF!</definedName>
    <definedName name="IS_MINI_BANK">#REF!</definedName>
    <definedName name="Notes">#REF!</definedName>
    <definedName name="Notes_Type">#REF!</definedName>
    <definedName name="Remittance_Type">#REF!</definedName>
  </definedNames>
  <calcPr calcId="145621"/>
</workbook>
</file>

<file path=xl/calcChain.xml><?xml version="1.0" encoding="utf-8"?>
<calcChain xmlns="http://schemas.openxmlformats.org/spreadsheetml/2006/main">
  <c r="L6" i="4" l="1"/>
  <c r="K2" i="4"/>
  <c r="L24" i="11" l="1"/>
  <c r="K24" i="11"/>
  <c r="L23" i="11"/>
  <c r="K23" i="11"/>
  <c r="L22" i="11"/>
  <c r="K22" i="11"/>
  <c r="K20" i="11"/>
  <c r="K19" i="11"/>
  <c r="H17" i="11"/>
  <c r="K15" i="11"/>
  <c r="H15" i="11"/>
  <c r="H14" i="11"/>
  <c r="K13" i="11"/>
  <c r="H13" i="11"/>
  <c r="I11" i="11"/>
  <c r="L5" i="11"/>
  <c r="K5" i="11"/>
  <c r="J5" i="11"/>
  <c r="I5" i="11"/>
  <c r="H5" i="11"/>
  <c r="L4" i="11"/>
  <c r="H3" i="11"/>
  <c r="H2" i="11"/>
  <c r="H1" i="11"/>
  <c r="L4" i="4" l="1"/>
  <c r="E6" i="5"/>
  <c r="E7" i="5"/>
  <c r="E8" i="5"/>
  <c r="E9" i="5"/>
  <c r="E10" i="5"/>
  <c r="E11" i="5"/>
  <c r="E12" i="5"/>
  <c r="E13" i="5"/>
  <c r="E14" i="5"/>
  <c r="E15" i="5"/>
  <c r="E5" i="5"/>
  <c r="N1" i="3"/>
  <c r="N11" i="3"/>
  <c r="L23" i="3"/>
  <c r="L24" i="3"/>
  <c r="L22" i="3"/>
  <c r="K23" i="3"/>
  <c r="K24" i="3"/>
  <c r="K22" i="3"/>
  <c r="N6" i="3"/>
  <c r="C25" i="3"/>
  <c r="D25" i="3"/>
  <c r="F25" i="3"/>
  <c r="G25" i="3"/>
  <c r="N17" i="3"/>
  <c r="N5" i="3"/>
  <c r="E17" i="5" l="1"/>
  <c r="N7" i="3"/>
  <c r="K25" i="3"/>
  <c r="L25" i="3"/>
  <c r="N25" i="3" s="1"/>
  <c r="G14" i="4"/>
  <c r="G16" i="4"/>
  <c r="G15" i="4"/>
  <c r="L1" i="2"/>
  <c r="N27" i="3" l="1"/>
  <c r="J14" i="2"/>
  <c r="F15" i="4"/>
  <c r="J13" i="2"/>
  <c r="F14" i="4"/>
  <c r="G17" i="4"/>
  <c r="K15" i="4" s="1"/>
  <c r="J15" i="2"/>
  <c r="F16" i="4"/>
  <c r="L15" i="2"/>
  <c r="L14" i="2"/>
  <c r="L13" i="2"/>
  <c r="M6" i="2"/>
  <c r="G18" i="2"/>
  <c r="G6" i="2"/>
  <c r="M7" i="2"/>
  <c r="M5" i="2"/>
  <c r="M4" i="2"/>
  <c r="G5" i="2"/>
  <c r="G7" i="2"/>
  <c r="G8" i="2"/>
  <c r="G9" i="2"/>
  <c r="G10" i="2"/>
  <c r="G11" i="2"/>
  <c r="G12" i="2"/>
  <c r="G13" i="2"/>
  <c r="G14" i="2"/>
  <c r="G4" i="2"/>
  <c r="C15" i="4" l="1"/>
  <c r="C14" i="4"/>
  <c r="C16" i="4"/>
  <c r="B15" i="4"/>
  <c r="B16" i="4"/>
  <c r="J16" i="2"/>
  <c r="B14" i="4"/>
  <c r="F17" i="4"/>
  <c r="L16" i="2"/>
  <c r="M8" i="2"/>
  <c r="G17" i="2" s="1"/>
  <c r="G15" i="2"/>
  <c r="C17" i="4" l="1"/>
  <c r="K14" i="4" s="1"/>
  <c r="K16" i="4" s="1"/>
  <c r="L5" i="4" s="1"/>
  <c r="L8" i="4" s="1"/>
  <c r="N8" i="4" s="1"/>
  <c r="B17" i="4"/>
  <c r="L22" i="2"/>
  <c r="G16" i="2" s="1"/>
  <c r="G19" i="2" s="1"/>
</calcChain>
</file>

<file path=xl/comments1.xml><?xml version="1.0" encoding="utf-8"?>
<comments xmlns="http://schemas.openxmlformats.org/spreadsheetml/2006/main">
  <authors>
    <author>Author</author>
  </authors>
  <commentList>
    <comment ref="C15" authorId="0">
      <text>
        <r>
          <rPr>
            <sz val="8"/>
            <color indexed="81"/>
            <rFont val="Zawgyi-One"/>
            <family val="2"/>
          </rPr>
          <t xml:space="preserve">လက္က်န္ ေငြသားစုစုေပါင္း တန္ဖိုး
</t>
        </r>
      </text>
    </comment>
    <comment ref="C16" authorId="0">
      <text>
        <r>
          <rPr>
            <sz val="8"/>
            <color indexed="81"/>
            <rFont val="Zawgyi-One"/>
            <family val="2"/>
          </rPr>
          <t>ဘဏ္အားလံုးမွ ထုတ္ေပးလုိက္သည့္ စာရင္းရွိ စုစုေပါင္းတန္ဖိုး</t>
        </r>
      </text>
    </comment>
    <comment ref="C17" authorId="0">
      <text>
        <r>
          <rPr>
            <sz val="8"/>
            <color indexed="81"/>
            <rFont val="Zawgyi-One"/>
            <family val="2"/>
          </rPr>
          <t>Mini Bank မွ ထုတ္ေပးေသာ ေငြသား စုစုေပါင္း တန္ဖိုး</t>
        </r>
      </text>
    </comment>
  </commentList>
</comments>
</file>

<file path=xl/sharedStrings.xml><?xml version="1.0" encoding="utf-8"?>
<sst xmlns="http://schemas.openxmlformats.org/spreadsheetml/2006/main" count="151" uniqueCount="76">
  <si>
    <t>=</t>
  </si>
  <si>
    <t>TOTAL</t>
  </si>
  <si>
    <t>x</t>
  </si>
  <si>
    <t>IME</t>
  </si>
  <si>
    <t>SP</t>
  </si>
  <si>
    <t>WU</t>
  </si>
  <si>
    <t>Denomination</t>
  </si>
  <si>
    <t>CT</t>
  </si>
  <si>
    <t>CHIT KO KO OO(JNE)</t>
  </si>
  <si>
    <t>FOREIGN REMITTANCE(PAYMENT)</t>
  </si>
  <si>
    <t>MINI BANK</t>
  </si>
  <si>
    <t>MAIN BANK</t>
  </si>
  <si>
    <t>TYPE</t>
  </si>
  <si>
    <t>COUNT</t>
  </si>
  <si>
    <t>AMOUNT</t>
  </si>
  <si>
    <t>TRANSFER</t>
  </si>
  <si>
    <t>DIFFERENCE</t>
  </si>
  <si>
    <t>CASH TOTAL</t>
  </si>
  <si>
    <t>CT TOTAL</t>
  </si>
  <si>
    <t>REPORT(IBC)</t>
  </si>
  <si>
    <t>REFUND CASH DENOMINATION</t>
  </si>
  <si>
    <t>D1</t>
  </si>
  <si>
    <t>D2</t>
  </si>
  <si>
    <t>D3</t>
  </si>
  <si>
    <t>ATM</t>
  </si>
  <si>
    <t>CHANGER</t>
  </si>
  <si>
    <t>REPORT / ROUGH SHEET</t>
  </si>
  <si>
    <t>FOREIGN REMITTANCE (PAYMENT)</t>
  </si>
  <si>
    <t>COIN</t>
  </si>
  <si>
    <t>EXPRESS(REC)</t>
  </si>
  <si>
    <t>PRIORITY(REC)</t>
  </si>
  <si>
    <t>NEW A/C(REC)</t>
  </si>
  <si>
    <t>IBC(REC)</t>
  </si>
  <si>
    <t xml:space="preserve"> </t>
  </si>
  <si>
    <t>REPORT TOTAL</t>
  </si>
  <si>
    <t>REFUND TOTAL</t>
  </si>
  <si>
    <t>BRANCH</t>
  </si>
  <si>
    <t>MAIN</t>
  </si>
  <si>
    <t>MINI</t>
  </si>
  <si>
    <t>TOTAL AMOUNT</t>
  </si>
  <si>
    <t xml:space="preserve">          </t>
  </si>
  <si>
    <t>wiya1821@gmail.com(bokalay)</t>
  </si>
  <si>
    <t>ပုသိမ္ၿမိဳ႔။</t>
  </si>
  <si>
    <t>ပံုစံ/႐ံုးသံုးစာေရးကိရိယာပစၥည္း/ပရိေဘာဂထုတ္ေျပစာ</t>
  </si>
  <si>
    <t>စဥ္</t>
  </si>
  <si>
    <t>ပစၥည္းအမ်ဳိးအမည္</t>
  </si>
  <si>
    <t>ထုတ္ေပးသည့္
အေရအတြက္</t>
  </si>
  <si>
    <t>မွတ္ခ်က္</t>
  </si>
  <si>
    <t>အထက္ပါပစၥည္း(         )မ်ဳိးလိုအပ္ေၾကာင္းမွန္ကန္ပါသည္။</t>
  </si>
  <si>
    <t>အမည္</t>
  </si>
  <si>
    <t>ဘဏ္ခြဲအမည္/ဌာန</t>
  </si>
  <si>
    <t>ေတာင္းခံသည့္ပစၥည္း(          )မ်ဳိးကို စိစစ္ထုတ္ေပးရန္ ခြင့္ျပဳသည္။</t>
  </si>
  <si>
    <t>မန္ေနဂ်ာ</t>
  </si>
  <si>
    <t>စီမံေရးရာ ဌာန</t>
  </si>
  <si>
    <t>ရရွိသူလက္မွတ္</t>
  </si>
  <si>
    <t>…………………….</t>
  </si>
  <si>
    <t>ေတာင္းခံသူလက္မွတ္………………………………………</t>
  </si>
  <si>
    <t>အမည္                      ……………………………………….</t>
  </si>
  <si>
    <t>ဘဏ္ခြဲအမည္/ဌာန  ………………………………………..</t>
  </si>
  <si>
    <t>………………...    ဘဏ္ခြဲအမည္/ဌာန</t>
  </si>
  <si>
    <t>ရက္စြဲ၊………...……………..</t>
  </si>
  <si>
    <t>…………..…………</t>
  </si>
  <si>
    <t>ေတာင္းခံသည့္
အေရအတြက္</t>
  </si>
  <si>
    <t>သမ၀ါယမ</t>
  </si>
  <si>
    <t xml:space="preserve">   </t>
  </si>
  <si>
    <t>REMARKS</t>
  </si>
  <si>
    <t>FOREIGN ENCASHMENT (PAYMENT) COUNTER</t>
  </si>
  <si>
    <t>CB BANK</t>
  </si>
  <si>
    <t>PTN</t>
  </si>
  <si>
    <t>DAW AYE CHAN MON</t>
  </si>
  <si>
    <t>DAW HNIN YU MAW</t>
  </si>
  <si>
    <t>ပြား</t>
  </si>
  <si>
    <t>အရေအတွက်</t>
  </si>
  <si>
    <t>ငွေ</t>
  </si>
  <si>
    <t>ပမာဏ (ကျပ်)</t>
  </si>
  <si>
    <t>စုစုပေါင်း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</si>
</sst>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1" formatCode="_(* #,##0_);_(* \(#,##0\);_(* &quot;-&quot;_);_(@_)"/>
    <numFmt numFmtId="43" formatCode="_(* #,##0.00_);_(* \(#,##0.00\);_(* &quot;-&quot;??_);_(@_)"/>
    <numFmt numFmtId="164" formatCode="[$-409]d\-mmm\-yy;@"/>
    <numFmt numFmtId="165" formatCode="[$-409]d\-mmm\-yyyy;@"/>
    <numFmt numFmtId="166" formatCode="[$-F800]dddd\,\ mmmm\ dd\,\ yyyy"/>
    <numFmt numFmtId="167" formatCode="_(* #,##0.00_);[Red]_(* \(#,##0.00\);_(* &quot;-&quot;??_);_(@_)"/>
    <numFmt numFmtId="168" formatCode="_(* #,##0_);_(* \(#,##0\);_(* &quot;-&quot;??_);_(@_)"/>
    <numFmt numFmtId="169" formatCode="#,##0.00\ [$ကျပ်]"/>
    <numFmt numFmtId="170" formatCode="#,##0.00\ [$ပြား]"/>
  </numFmts>
  <fonts count="33" x14ac:knownFonts="1">
    <font>
      <sz val="11"/>
      <color theme="1"/>
      <name val="Calibri"/>
      <family val="2"/>
      <scheme val="minor"/>
    </font>
    <font>
      <sz val="8"/>
      <color indexed="81"/>
      <name val="Zawgyi-One"/>
      <family val="2"/>
    </font>
    <font>
      <sz val="14"/>
      <color theme="1"/>
      <name val="Courier New"/>
      <family val="3"/>
    </font>
    <font>
      <b/>
      <sz val="14"/>
      <color theme="1"/>
      <name val="Courier New"/>
      <family val="3"/>
    </font>
    <font>
      <b/>
      <sz val="16"/>
      <color theme="1"/>
      <name val="Courier New"/>
      <family val="3"/>
    </font>
    <font>
      <b/>
      <sz val="18"/>
      <color theme="1"/>
      <name val="Courier New"/>
      <family val="3"/>
    </font>
    <font>
      <b/>
      <sz val="24"/>
      <name val="Courier New"/>
      <family val="3"/>
    </font>
    <font>
      <b/>
      <i/>
      <sz val="14"/>
      <color theme="1"/>
      <name val="Courier New"/>
      <family val="3"/>
    </font>
    <font>
      <b/>
      <u val="double"/>
      <sz val="18"/>
      <color theme="1"/>
      <name val="Courier New"/>
      <family val="3"/>
    </font>
    <font>
      <b/>
      <sz val="16"/>
      <color theme="3" tint="0.39997558519241921"/>
      <name val="Courier New"/>
      <family val="3"/>
    </font>
    <font>
      <sz val="11"/>
      <color theme="1"/>
      <name val="Consolas"/>
      <family val="3"/>
    </font>
    <font>
      <b/>
      <u val="double"/>
      <sz val="11"/>
      <color theme="1"/>
      <name val="Consolas"/>
      <family val="3"/>
    </font>
    <font>
      <b/>
      <sz val="11"/>
      <color theme="1"/>
      <name val="Consolas"/>
      <family val="3"/>
    </font>
    <font>
      <b/>
      <sz val="14"/>
      <color theme="1"/>
      <name val="Consolas"/>
      <family val="3"/>
    </font>
    <font>
      <b/>
      <sz val="20"/>
      <color theme="1"/>
      <name val="Consolas"/>
      <family val="3"/>
    </font>
    <font>
      <u/>
      <sz val="11"/>
      <color theme="10"/>
      <name val="Calibri"/>
      <family val="2"/>
    </font>
    <font>
      <b/>
      <sz val="11"/>
      <color theme="1"/>
      <name val="Myanmar3"/>
      <family val="1"/>
    </font>
    <font>
      <sz val="9"/>
      <color theme="1"/>
      <name val="Myanmar3"/>
      <family val="1"/>
    </font>
    <font>
      <b/>
      <sz val="10"/>
      <color theme="1"/>
      <name val="Myanmar3"/>
      <family val="1"/>
    </font>
    <font>
      <b/>
      <sz val="9"/>
      <color theme="1"/>
      <name val="Myanmar3"/>
      <family val="1"/>
    </font>
    <font>
      <b/>
      <sz val="16"/>
      <color theme="1"/>
      <name val="Consolas"/>
      <family val="3"/>
    </font>
    <font>
      <b/>
      <sz val="18"/>
      <color theme="1"/>
      <name val="Consolas"/>
      <family val="3"/>
    </font>
    <font>
      <sz val="18"/>
      <color theme="1"/>
      <name val="Consolas"/>
      <family val="3"/>
    </font>
    <font>
      <sz val="10"/>
      <color theme="1"/>
      <name val="Consolas"/>
      <family val="3"/>
    </font>
    <font>
      <sz val="11"/>
      <name val="Consolas"/>
      <family val="3"/>
    </font>
    <font>
      <sz val="11"/>
      <color theme="0"/>
      <name val="Consolas"/>
      <family val="3"/>
    </font>
    <font>
      <sz val="16"/>
      <color theme="0"/>
      <name val="Times New Roman"/>
      <family val="1"/>
    </font>
    <font>
      <b/>
      <sz val="36"/>
      <color theme="0"/>
      <name val="Times New Roman"/>
      <family val="1"/>
    </font>
    <font>
      <sz val="8"/>
      <color rgb="FF000000"/>
      <name val="Tahoma"/>
      <family val="2"/>
    </font>
    <font>
      <b/>
      <sz val="14"/>
      <color rgb="FF0000FF"/>
      <name val="Pyidaungsu"/>
      <family val="2"/>
    </font>
    <font>
      <sz val="14"/>
      <name val="Pyidaungsu Numbers"/>
      <family val="2"/>
    </font>
    <font>
      <b/>
      <sz val="14"/>
      <name val="Pyidaungsu Numbers"/>
      <family val="2"/>
    </font>
    <font>
      <b/>
      <sz val="18"/>
      <name val="Pyidaungsu Numbers"/>
      <family val="2"/>
    </font>
  </fonts>
  <fills count="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/>
      <bottom style="thin">
        <color theme="0" tint="-0.499984740745262"/>
      </bottom>
      <diagonal/>
    </border>
    <border>
      <left style="thin">
        <color indexed="64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  <border>
      <left/>
      <right style="dashDotDot">
        <color auto="1"/>
      </right>
      <top/>
      <bottom/>
      <diagonal/>
    </border>
    <border>
      <left style="hair">
        <color theme="2" tint="-0.749961851863155"/>
      </left>
      <right style="hair">
        <color theme="2" tint="-0.749961851863155"/>
      </right>
      <top style="hair">
        <color theme="2" tint="-0.749961851863155"/>
      </top>
      <bottom style="hair">
        <color theme="2" tint="-0.749961851863155"/>
      </bottom>
      <diagonal/>
    </border>
    <border>
      <left style="thin">
        <color theme="2" tint="-0.749961851863155"/>
      </left>
      <right style="hair">
        <color theme="2" tint="-0.749961851863155"/>
      </right>
      <top style="medium">
        <color theme="2" tint="-0.749961851863155"/>
      </top>
      <bottom style="hair">
        <color theme="2" tint="-0.749961851863155"/>
      </bottom>
      <diagonal/>
    </border>
    <border>
      <left style="hair">
        <color theme="2" tint="-0.749961851863155"/>
      </left>
      <right style="hair">
        <color theme="2" tint="-0.749961851863155"/>
      </right>
      <top style="medium">
        <color theme="2" tint="-0.749961851863155"/>
      </top>
      <bottom style="hair">
        <color theme="2" tint="-0.749961851863155"/>
      </bottom>
      <diagonal/>
    </border>
    <border>
      <left style="hair">
        <color theme="2" tint="-0.749961851863155"/>
      </left>
      <right style="thin">
        <color theme="2" tint="-0.749961851863155"/>
      </right>
      <top style="medium">
        <color theme="2" tint="-0.749961851863155"/>
      </top>
      <bottom style="hair">
        <color theme="2" tint="-0.749961851863155"/>
      </bottom>
      <diagonal/>
    </border>
    <border>
      <left style="thin">
        <color theme="2" tint="-0.749961851863155"/>
      </left>
      <right style="hair">
        <color theme="2" tint="-0.749961851863155"/>
      </right>
      <top style="hair">
        <color theme="2" tint="-0.749961851863155"/>
      </top>
      <bottom style="hair">
        <color theme="2" tint="-0.749961851863155"/>
      </bottom>
      <diagonal/>
    </border>
    <border>
      <left style="hair">
        <color theme="2" tint="-0.749961851863155"/>
      </left>
      <right style="thin">
        <color theme="2" tint="-0.749961851863155"/>
      </right>
      <top style="hair">
        <color theme="2" tint="-0.749961851863155"/>
      </top>
      <bottom style="hair">
        <color theme="2" tint="-0.749961851863155"/>
      </bottom>
      <diagonal/>
    </border>
    <border>
      <left style="hair">
        <color theme="2" tint="-0.749961851863155"/>
      </left>
      <right style="hair">
        <color theme="2" tint="-0.749961851863155"/>
      </right>
      <top style="hair">
        <color theme="2" tint="-0.749961851863155"/>
      </top>
      <bottom style="thin">
        <color theme="2" tint="-0.749961851863155"/>
      </bottom>
      <diagonal/>
    </border>
    <border>
      <left style="hair">
        <color theme="2" tint="-0.749961851863155"/>
      </left>
      <right style="thin">
        <color theme="2" tint="-0.749961851863155"/>
      </right>
      <top style="hair">
        <color theme="2" tint="-0.749961851863155"/>
      </top>
      <bottom style="thin">
        <color theme="2" tint="-0.749961851863155"/>
      </bottom>
      <diagonal/>
    </border>
    <border>
      <left style="thin">
        <color theme="2" tint="-0.749961851863155"/>
      </left>
      <right/>
      <top style="hair">
        <color theme="2" tint="-0.749961851863155"/>
      </top>
      <bottom/>
      <diagonal/>
    </border>
    <border>
      <left/>
      <right/>
      <top style="hair">
        <color theme="2" tint="-0.749961851863155"/>
      </top>
      <bottom/>
      <diagonal/>
    </border>
    <border>
      <left/>
      <right style="hair">
        <color theme="2" tint="-0.749961851863155"/>
      </right>
      <top style="hair">
        <color theme="2" tint="-0.749961851863155"/>
      </top>
      <bottom/>
      <diagonal/>
    </border>
    <border>
      <left style="thin">
        <color theme="2" tint="-0.749961851863155"/>
      </left>
      <right/>
      <top/>
      <bottom style="thin">
        <color theme="2" tint="-0.749961851863155"/>
      </bottom>
      <diagonal/>
    </border>
    <border>
      <left/>
      <right/>
      <top/>
      <bottom style="thin">
        <color theme="2" tint="-0.749961851863155"/>
      </bottom>
      <diagonal/>
    </border>
    <border>
      <left/>
      <right style="hair">
        <color theme="2" tint="-0.749961851863155"/>
      </right>
      <top/>
      <bottom style="thin">
        <color theme="2" tint="-0.749961851863155"/>
      </bottom>
      <diagonal/>
    </border>
    <border>
      <left style="thin">
        <color theme="2" tint="-0.749961851863155"/>
      </left>
      <right/>
      <top style="hair">
        <color theme="2" tint="-0.749961851863155"/>
      </top>
      <bottom style="hair">
        <color theme="2" tint="-0.749961851863155"/>
      </bottom>
      <diagonal/>
    </border>
    <border>
      <left/>
      <right/>
      <top style="hair">
        <color theme="2" tint="-0.749961851863155"/>
      </top>
      <bottom style="hair">
        <color theme="2" tint="-0.749961851863155"/>
      </bottom>
      <diagonal/>
    </border>
    <border>
      <left/>
      <right style="hair">
        <color theme="2" tint="-0.749961851863155"/>
      </right>
      <top style="hair">
        <color theme="2" tint="-0.749961851863155"/>
      </top>
      <bottom style="hair">
        <color theme="2" tint="-0.749961851863155"/>
      </bottom>
      <diagonal/>
    </border>
    <border>
      <left/>
      <right/>
      <top/>
      <bottom style="medium">
        <color theme="2" tint="-0.749961851863155"/>
      </bottom>
      <diagonal/>
    </border>
    <border>
      <left/>
      <right/>
      <top/>
      <bottom style="hair">
        <color theme="2" tint="-0.499984740745262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>
      <alignment vertical="top"/>
      <protection locked="0"/>
    </xf>
  </cellStyleXfs>
  <cellXfs count="202">
    <xf numFmtId="0" fontId="0" fillId="0" borderId="0" xfId="0"/>
    <xf numFmtId="0" fontId="2" fillId="0" borderId="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3" fontId="2" fillId="2" borderId="1" xfId="0" applyNumberFormat="1" applyFont="1" applyFill="1" applyBorder="1" applyAlignment="1" applyProtection="1">
      <alignment vertical="center"/>
      <protection locked="0"/>
    </xf>
    <xf numFmtId="3" fontId="2" fillId="0" borderId="1" xfId="0" applyNumberFormat="1" applyFont="1" applyBorder="1" applyAlignment="1">
      <alignment vertical="center"/>
    </xf>
    <xf numFmtId="3" fontId="2" fillId="0" borderId="2" xfId="0" applyNumberFormat="1" applyFont="1" applyBorder="1" applyAlignment="1">
      <alignment horizontal="right" vertical="center"/>
    </xf>
    <xf numFmtId="3" fontId="2" fillId="0" borderId="1" xfId="0" applyNumberFormat="1" applyFont="1" applyBorder="1" applyAlignment="1">
      <alignment horizontal="right" vertical="center"/>
    </xf>
    <xf numFmtId="0" fontId="2" fillId="0" borderId="0" xfId="0" applyFont="1" applyAlignment="1">
      <alignment vertical="center"/>
    </xf>
    <xf numFmtId="3" fontId="2" fillId="4" borderId="2" xfId="0" applyNumberFormat="1" applyFont="1" applyFill="1" applyBorder="1" applyAlignment="1" applyProtection="1">
      <alignment vertical="center"/>
      <protection locked="0"/>
    </xf>
    <xf numFmtId="3" fontId="2" fillId="4" borderId="1" xfId="0" applyNumberFormat="1" applyFont="1" applyFill="1" applyBorder="1" applyAlignment="1" applyProtection="1">
      <alignment vertical="center"/>
      <protection locked="0"/>
    </xf>
    <xf numFmtId="4" fontId="2" fillId="0" borderId="0" xfId="0" applyNumberFormat="1" applyFont="1" applyAlignment="1">
      <alignment vertical="center"/>
    </xf>
    <xf numFmtId="43" fontId="2" fillId="0" borderId="2" xfId="0" applyNumberFormat="1" applyFont="1" applyBorder="1" applyAlignment="1">
      <alignment vertical="center"/>
    </xf>
    <xf numFmtId="43" fontId="2" fillId="0" borderId="1" xfId="0" applyNumberFormat="1" applyFont="1" applyBorder="1" applyAlignment="1">
      <alignment vertical="center"/>
    </xf>
    <xf numFmtId="43" fontId="2" fillId="0" borderId="2" xfId="0" applyNumberFormat="1" applyFont="1" applyBorder="1" applyAlignment="1">
      <alignment horizontal="right" vertical="center"/>
    </xf>
    <xf numFmtId="43" fontId="2" fillId="0" borderId="1" xfId="0" applyNumberFormat="1" applyFont="1" applyBorder="1" applyAlignment="1">
      <alignment horizontal="right" vertical="center"/>
    </xf>
    <xf numFmtId="43" fontId="3" fillId="0" borderId="1" xfId="0" applyNumberFormat="1" applyFont="1" applyBorder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8" fillId="0" borderId="0" xfId="0" applyFont="1" applyAlignment="1">
      <alignment vertical="center"/>
    </xf>
    <xf numFmtId="3" fontId="2" fillId="0" borderId="2" xfId="0" applyNumberFormat="1" applyFont="1" applyBorder="1" applyAlignment="1">
      <alignment vertical="center"/>
    </xf>
    <xf numFmtId="3" fontId="2" fillId="2" borderId="2" xfId="0" applyNumberFormat="1" applyFont="1" applyFill="1" applyBorder="1" applyAlignment="1" applyProtection="1">
      <alignment vertical="center"/>
      <protection locked="0"/>
    </xf>
    <xf numFmtId="0" fontId="3" fillId="0" borderId="0" xfId="0" applyFont="1" applyAlignment="1">
      <alignment horizontal="center" vertical="top"/>
    </xf>
    <xf numFmtId="41" fontId="3" fillId="0" borderId="0" xfId="0" applyNumberFormat="1" applyFont="1" applyAlignment="1">
      <alignment horizontal="center" vertical="top"/>
    </xf>
    <xf numFmtId="43" fontId="3" fillId="0" borderId="0" xfId="0" applyNumberFormat="1" applyFont="1" applyAlignment="1">
      <alignment horizontal="center" vertical="top"/>
    </xf>
    <xf numFmtId="0" fontId="4" fillId="0" borderId="9" xfId="0" applyFont="1" applyBorder="1" applyAlignment="1">
      <alignment horizontal="center"/>
    </xf>
    <xf numFmtId="41" fontId="3" fillId="0" borderId="0" xfId="0" applyNumberFormat="1" applyFont="1" applyAlignment="1">
      <alignment horizontal="center" vertical="top"/>
    </xf>
    <xf numFmtId="43" fontId="3" fillId="0" borderId="0" xfId="0" applyNumberFormat="1" applyFont="1" applyAlignment="1">
      <alignment horizontal="center" vertical="top"/>
    </xf>
    <xf numFmtId="0" fontId="2" fillId="0" borderId="0" xfId="0" applyFont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43" fontId="3" fillId="0" borderId="1" xfId="0" quotePrefix="1" applyNumberFormat="1" applyFont="1" applyFill="1" applyBorder="1" applyAlignment="1">
      <alignment horizontal="right" vertical="center"/>
    </xf>
    <xf numFmtId="43" fontId="3" fillId="0" borderId="1" xfId="0" applyNumberFormat="1" applyFont="1" applyBorder="1" applyAlignment="1">
      <alignment vertical="center"/>
    </xf>
    <xf numFmtId="40" fontId="3" fillId="0" borderId="0" xfId="0" applyNumberFormat="1" applyFont="1" applyFill="1" applyBorder="1" applyAlignment="1" applyProtection="1">
      <alignment horizontal="right" vertical="center"/>
      <protection locked="0"/>
    </xf>
    <xf numFmtId="0" fontId="2" fillId="0" borderId="10" xfId="0" applyFont="1" applyBorder="1" applyAlignment="1">
      <alignment horizontal="center" vertical="center"/>
    </xf>
    <xf numFmtId="40" fontId="3" fillId="0" borderId="10" xfId="0" applyNumberFormat="1" applyFont="1" applyBorder="1" applyAlignment="1">
      <alignment horizontal="right" vertical="center"/>
    </xf>
    <xf numFmtId="43" fontId="3" fillId="0" borderId="5" xfId="0" applyNumberFormat="1" applyFont="1" applyBorder="1" applyAlignment="1">
      <alignment horizontal="right" vertical="center"/>
    </xf>
    <xf numFmtId="38" fontId="10" fillId="0" borderId="0" xfId="0" applyNumberFormat="1" applyFont="1"/>
    <xf numFmtId="40" fontId="10" fillId="0" borderId="0" xfId="0" applyNumberFormat="1" applyFont="1"/>
    <xf numFmtId="38" fontId="12" fillId="0" borderId="0" xfId="0" applyNumberFormat="1" applyFont="1"/>
    <xf numFmtId="38" fontId="10" fillId="2" borderId="0" xfId="0" applyNumberFormat="1" applyFont="1" applyFill="1"/>
    <xf numFmtId="38" fontId="12" fillId="0" borderId="0" xfId="0" applyNumberFormat="1" applyFont="1" applyAlignment="1">
      <alignment vertical="center"/>
    </xf>
    <xf numFmtId="38" fontId="12" fillId="0" borderId="0" xfId="0" applyNumberFormat="1" applyFont="1" applyAlignment="1">
      <alignment horizontal="center" vertical="center"/>
    </xf>
    <xf numFmtId="38" fontId="12" fillId="0" borderId="0" xfId="0" applyNumberFormat="1" applyFont="1" applyAlignment="1">
      <alignment horizontal="center"/>
    </xf>
    <xf numFmtId="38" fontId="12" fillId="0" borderId="0" xfId="0" applyNumberFormat="1" applyFont="1" applyAlignment="1">
      <alignment horizontal="left" vertical="center"/>
    </xf>
    <xf numFmtId="38" fontId="10" fillId="0" borderId="0" xfId="0" applyNumberFormat="1" applyFont="1" applyAlignment="1">
      <alignment horizontal="center"/>
    </xf>
    <xf numFmtId="38" fontId="10" fillId="0" borderId="4" xfId="0" applyNumberFormat="1" applyFont="1" applyBorder="1" applyAlignment="1">
      <alignment horizontal="center"/>
    </xf>
    <xf numFmtId="40" fontId="10" fillId="0" borderId="4" xfId="0" applyNumberFormat="1" applyFont="1" applyBorder="1"/>
    <xf numFmtId="40" fontId="10" fillId="2" borderId="0" xfId="0" applyNumberFormat="1" applyFont="1" applyFill="1" applyAlignment="1">
      <alignment horizontal="center"/>
    </xf>
    <xf numFmtId="38" fontId="10" fillId="2" borderId="0" xfId="0" applyNumberFormat="1" applyFont="1" applyFill="1" applyAlignment="1">
      <alignment horizontal="center"/>
    </xf>
    <xf numFmtId="38" fontId="10" fillId="0" borderId="0" xfId="0" applyNumberFormat="1" applyFont="1" applyAlignment="1">
      <alignment horizontal="center" vertical="center"/>
    </xf>
    <xf numFmtId="38" fontId="10" fillId="0" borderId="4" xfId="0" applyNumberFormat="1" applyFont="1" applyBorder="1" applyAlignment="1">
      <alignment horizontal="center" vertical="center"/>
    </xf>
    <xf numFmtId="40" fontId="12" fillId="0" borderId="0" xfId="0" applyNumberFormat="1" applyFont="1"/>
    <xf numFmtId="40" fontId="12" fillId="0" borderId="0" xfId="0" applyNumberFormat="1" applyFont="1" applyBorder="1"/>
    <xf numFmtId="40" fontId="11" fillId="0" borderId="0" xfId="0" applyNumberFormat="1" applyFont="1"/>
    <xf numFmtId="38" fontId="10" fillId="0" borderId="0" xfId="0" applyNumberFormat="1" applyFont="1" applyBorder="1"/>
    <xf numFmtId="38" fontId="10" fillId="0" borderId="4" xfId="0" applyNumberFormat="1" applyFont="1" applyBorder="1"/>
    <xf numFmtId="40" fontId="12" fillId="0" borderId="4" xfId="0" applyNumberFormat="1" applyFont="1" applyBorder="1"/>
    <xf numFmtId="40" fontId="10" fillId="2" borderId="0" xfId="0" applyNumberFormat="1" applyFont="1" applyFill="1" applyBorder="1"/>
    <xf numFmtId="40" fontId="10" fillId="0" borderId="0" xfId="0" applyNumberFormat="1" applyFont="1" applyFill="1" applyBorder="1"/>
    <xf numFmtId="38" fontId="11" fillId="0" borderId="0" xfId="0" applyNumberFormat="1" applyFont="1" applyAlignment="1">
      <alignment horizontal="right"/>
    </xf>
    <xf numFmtId="38" fontId="12" fillId="0" borderId="0" xfId="0" applyNumberFormat="1" applyFont="1" applyBorder="1" applyAlignment="1">
      <alignment horizontal="center" vertical="center"/>
    </xf>
    <xf numFmtId="38" fontId="10" fillId="0" borderId="0" xfId="0" applyNumberFormat="1" applyFont="1" applyFill="1" applyAlignment="1">
      <alignment horizontal="center"/>
    </xf>
    <xf numFmtId="38" fontId="12" fillId="0" borderId="0" xfId="0" applyNumberFormat="1" applyFont="1" applyFill="1" applyAlignment="1">
      <alignment horizontal="center"/>
    </xf>
    <xf numFmtId="165" fontId="12" fillId="0" borderId="0" xfId="0" applyNumberFormat="1" applyFont="1"/>
    <xf numFmtId="0" fontId="15" fillId="0" borderId="0" xfId="1" applyAlignment="1" applyProtection="1"/>
    <xf numFmtId="0" fontId="17" fillId="0" borderId="16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right" vertical="center"/>
    </xf>
    <xf numFmtId="0" fontId="19" fillId="5" borderId="1" xfId="0" applyFont="1" applyFill="1" applyBorder="1" applyAlignment="1">
      <alignment horizontal="center" vertical="center"/>
    </xf>
    <xf numFmtId="0" fontId="19" fillId="5" borderId="1" xfId="0" applyFont="1" applyFill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/>
    </xf>
    <xf numFmtId="3" fontId="10" fillId="0" borderId="0" xfId="0" applyNumberFormat="1" applyFont="1" applyAlignment="1">
      <alignment horizontal="center" vertical="center"/>
    </xf>
    <xf numFmtId="3" fontId="12" fillId="0" borderId="0" xfId="0" applyNumberFormat="1" applyFont="1" applyAlignment="1">
      <alignment horizontal="center" vertical="center"/>
    </xf>
    <xf numFmtId="3" fontId="10" fillId="0" borderId="0" xfId="0" applyNumberFormat="1" applyFont="1" applyBorder="1" applyAlignment="1">
      <alignment horizontal="center" vertical="center"/>
    </xf>
    <xf numFmtId="4" fontId="10" fillId="0" borderId="0" xfId="0" applyNumberFormat="1" applyFont="1" applyAlignment="1">
      <alignment horizontal="center" vertical="center"/>
    </xf>
    <xf numFmtId="164" fontId="10" fillId="0" borderId="0" xfId="0" applyNumberFormat="1" applyFont="1" applyAlignment="1">
      <alignment horizontal="center" vertical="center"/>
    </xf>
    <xf numFmtId="3" fontId="12" fillId="0" borderId="0" xfId="0" applyNumberFormat="1" applyFont="1" applyBorder="1" applyAlignment="1">
      <alignment vertical="center"/>
    </xf>
    <xf numFmtId="3" fontId="12" fillId="0" borderId="0" xfId="0" applyNumberFormat="1" applyFont="1" applyBorder="1" applyAlignment="1">
      <alignment horizontal="center" vertical="center"/>
    </xf>
    <xf numFmtId="4" fontId="12" fillId="0" borderId="0" xfId="0" applyNumberFormat="1" applyFont="1" applyAlignment="1">
      <alignment horizontal="center" vertical="center"/>
    </xf>
    <xf numFmtId="4" fontId="12" fillId="0" borderId="0" xfId="0" applyNumberFormat="1" applyFont="1" applyBorder="1" applyAlignment="1">
      <alignment horizontal="center" vertical="center"/>
    </xf>
    <xf numFmtId="3" fontId="10" fillId="0" borderId="0" xfId="0" applyNumberFormat="1" applyFont="1" applyAlignment="1" applyProtection="1">
      <alignment horizontal="center" vertical="center"/>
      <protection locked="0"/>
    </xf>
    <xf numFmtId="4" fontId="10" fillId="0" borderId="0" xfId="0" applyNumberFormat="1" applyFont="1" applyAlignment="1" applyProtection="1">
      <alignment horizontal="center" vertical="center"/>
      <protection locked="0"/>
    </xf>
    <xf numFmtId="164" fontId="10" fillId="0" borderId="0" xfId="0" applyNumberFormat="1" applyFont="1" applyAlignment="1" applyProtection="1">
      <alignment horizontal="center" vertical="center"/>
      <protection locked="0"/>
    </xf>
    <xf numFmtId="3" fontId="12" fillId="5" borderId="0" xfId="0" applyNumberFormat="1" applyFont="1" applyFill="1" applyBorder="1" applyAlignment="1">
      <alignment horizontal="center" vertical="center"/>
    </xf>
    <xf numFmtId="3" fontId="12" fillId="5" borderId="0" xfId="0" applyNumberFormat="1" applyFont="1" applyFill="1" applyBorder="1" applyAlignment="1">
      <alignment horizontal="right" vertical="center"/>
    </xf>
    <xf numFmtId="41" fontId="10" fillId="0" borderId="0" xfId="0" applyNumberFormat="1" applyFont="1" applyBorder="1" applyAlignment="1">
      <alignment horizontal="center" vertical="center"/>
    </xf>
    <xf numFmtId="3" fontId="10" fillId="0" borderId="0" xfId="0" applyNumberFormat="1" applyFont="1" applyBorder="1" applyAlignment="1">
      <alignment horizontal="right" vertical="center"/>
    </xf>
    <xf numFmtId="41" fontId="12" fillId="0" borderId="0" xfId="0" applyNumberFormat="1" applyFont="1" applyBorder="1" applyAlignment="1">
      <alignment horizontal="center" vertical="center"/>
    </xf>
    <xf numFmtId="4" fontId="10" fillId="0" borderId="0" xfId="0" applyNumberFormat="1" applyFont="1" applyBorder="1" applyAlignment="1">
      <alignment horizontal="center" vertical="center"/>
    </xf>
    <xf numFmtId="3" fontId="12" fillId="0" borderId="0" xfId="0" applyNumberFormat="1" applyFont="1" applyBorder="1" applyAlignment="1">
      <alignment horizontal="right" vertical="center"/>
    </xf>
    <xf numFmtId="3" fontId="12" fillId="5" borderId="18" xfId="0" applyNumberFormat="1" applyFont="1" applyFill="1" applyBorder="1" applyAlignment="1">
      <alignment horizontal="center" vertical="center"/>
    </xf>
    <xf numFmtId="3" fontId="12" fillId="5" borderId="19" xfId="0" applyNumberFormat="1" applyFont="1" applyFill="1" applyBorder="1" applyAlignment="1">
      <alignment horizontal="center" vertical="center"/>
    </xf>
    <xf numFmtId="4" fontId="12" fillId="5" borderId="19" xfId="0" applyNumberFormat="1" applyFont="1" applyFill="1" applyBorder="1" applyAlignment="1">
      <alignment horizontal="center" vertical="center"/>
    </xf>
    <xf numFmtId="164" fontId="12" fillId="5" borderId="20" xfId="0" applyNumberFormat="1" applyFont="1" applyFill="1" applyBorder="1" applyAlignment="1">
      <alignment horizontal="center" vertical="center"/>
    </xf>
    <xf numFmtId="4" fontId="10" fillId="0" borderId="17" xfId="0" applyNumberFormat="1" applyFont="1" applyBorder="1" applyAlignment="1">
      <alignment horizontal="right" vertical="center"/>
    </xf>
    <xf numFmtId="164" fontId="10" fillId="0" borderId="22" xfId="0" applyNumberFormat="1" applyFont="1" applyBorder="1" applyAlignment="1">
      <alignment horizontal="left" vertical="center"/>
    </xf>
    <xf numFmtId="40" fontId="10" fillId="0" borderId="17" xfId="0" applyNumberFormat="1" applyFont="1" applyFill="1" applyBorder="1" applyAlignment="1" applyProtection="1">
      <alignment horizontal="right" vertical="center"/>
      <protection locked="0"/>
    </xf>
    <xf numFmtId="167" fontId="10" fillId="0" borderId="23" xfId="0" applyNumberFormat="1" applyFont="1" applyBorder="1" applyAlignment="1">
      <alignment horizontal="right" vertical="center"/>
    </xf>
    <xf numFmtId="4" fontId="10" fillId="0" borderId="23" xfId="0" applyNumberFormat="1" applyFont="1" applyBorder="1" applyAlignment="1">
      <alignment horizontal="center" vertical="center"/>
    </xf>
    <xf numFmtId="164" fontId="10" fillId="0" borderId="24" xfId="0" applyNumberFormat="1" applyFont="1" applyBorder="1" applyAlignment="1">
      <alignment horizontal="left" vertical="center"/>
    </xf>
    <xf numFmtId="3" fontId="20" fillId="0" borderId="0" xfId="0" applyNumberFormat="1" applyFont="1" applyAlignment="1">
      <alignment horizontal="center" vertical="center"/>
    </xf>
    <xf numFmtId="3" fontId="20" fillId="0" borderId="0" xfId="0" applyNumberFormat="1" applyFont="1" applyAlignment="1">
      <alignment horizontal="center" vertical="top"/>
    </xf>
    <xf numFmtId="3" fontId="22" fillId="0" borderId="0" xfId="0" applyNumberFormat="1" applyFont="1" applyAlignment="1">
      <alignment horizontal="center" vertical="center"/>
    </xf>
    <xf numFmtId="3" fontId="10" fillId="0" borderId="35" xfId="0" applyNumberFormat="1" applyFont="1" applyBorder="1" applyAlignment="1">
      <alignment horizontal="center" vertical="center"/>
    </xf>
    <xf numFmtId="4" fontId="10" fillId="0" borderId="35" xfId="0" applyNumberFormat="1" applyFont="1" applyBorder="1" applyAlignment="1">
      <alignment horizontal="center" vertical="center"/>
    </xf>
    <xf numFmtId="164" fontId="10" fillId="0" borderId="35" xfId="0" applyNumberFormat="1" applyFont="1" applyBorder="1" applyAlignment="1">
      <alignment horizontal="center" vertical="center"/>
    </xf>
    <xf numFmtId="3" fontId="23" fillId="0" borderId="0" xfId="0" applyNumberFormat="1" applyFont="1" applyAlignment="1">
      <alignment horizontal="center" vertical="center"/>
    </xf>
    <xf numFmtId="168" fontId="10" fillId="0" borderId="21" xfId="0" applyNumberFormat="1" applyFont="1" applyFill="1" applyBorder="1" applyAlignment="1" applyProtection="1">
      <alignment horizontal="center" vertical="center"/>
      <protection locked="0"/>
    </xf>
    <xf numFmtId="168" fontId="10" fillId="0" borderId="17" xfId="0" applyNumberFormat="1" applyFont="1" applyFill="1" applyBorder="1" applyAlignment="1" applyProtection="1">
      <alignment horizontal="center" vertical="center"/>
      <protection locked="0"/>
    </xf>
    <xf numFmtId="3" fontId="24" fillId="0" borderId="0" xfId="0" applyNumberFormat="1" applyFont="1" applyAlignment="1">
      <alignment horizontal="center" vertical="center"/>
    </xf>
    <xf numFmtId="3" fontId="25" fillId="0" borderId="0" xfId="0" applyNumberFormat="1" applyFont="1" applyBorder="1" applyAlignment="1">
      <alignment horizontal="center" vertical="center"/>
    </xf>
    <xf numFmtId="3" fontId="26" fillId="0" borderId="0" xfId="0" applyNumberFormat="1" applyFont="1" applyBorder="1" applyAlignment="1">
      <alignment horizontal="center" vertical="center"/>
    </xf>
    <xf numFmtId="3" fontId="27" fillId="0" borderId="0" xfId="0" applyNumberFormat="1" applyFont="1" applyBorder="1" applyAlignment="1" applyProtection="1">
      <alignment horizontal="center" vertical="center"/>
      <protection locked="0"/>
    </xf>
    <xf numFmtId="168" fontId="10" fillId="0" borderId="31" xfId="0" applyNumberFormat="1" applyFont="1" applyBorder="1" applyAlignment="1" applyProtection="1">
      <alignment horizontal="center" vertical="center"/>
      <protection locked="0"/>
    </xf>
    <xf numFmtId="0" fontId="30" fillId="0" borderId="0" xfId="0" applyFont="1" applyBorder="1" applyProtection="1"/>
    <xf numFmtId="0" fontId="30" fillId="0" borderId="0" xfId="0" applyFont="1" applyProtection="1"/>
    <xf numFmtId="0" fontId="30" fillId="0" borderId="0" xfId="0" applyFont="1" applyBorder="1" applyAlignment="1" applyProtection="1">
      <alignment horizontal="center"/>
    </xf>
    <xf numFmtId="0" fontId="31" fillId="4" borderId="11" xfId="0" applyFont="1" applyFill="1" applyBorder="1" applyAlignment="1" applyProtection="1">
      <alignment horizontal="center" vertical="center"/>
    </xf>
    <xf numFmtId="0" fontId="31" fillId="4" borderId="15" xfId="0" applyFont="1" applyFill="1" applyBorder="1" applyAlignment="1" applyProtection="1">
      <alignment horizontal="center" vertical="center"/>
    </xf>
    <xf numFmtId="38" fontId="30" fillId="0" borderId="1" xfId="0" applyNumberFormat="1" applyFont="1" applyBorder="1" applyAlignment="1" applyProtection="1">
      <alignment horizontal="right" vertical="center"/>
    </xf>
    <xf numFmtId="41" fontId="30" fillId="3" borderId="1" xfId="0" applyNumberFormat="1" applyFont="1" applyFill="1" applyBorder="1" applyAlignment="1" applyProtection="1">
      <alignment vertical="center"/>
      <protection locked="0"/>
    </xf>
    <xf numFmtId="169" fontId="30" fillId="0" borderId="1" xfId="0" applyNumberFormat="1" applyFont="1" applyBorder="1" applyAlignment="1" applyProtection="1">
      <alignment vertical="center"/>
    </xf>
    <xf numFmtId="170" fontId="30" fillId="3" borderId="37" xfId="0" applyNumberFormat="1" applyFont="1" applyFill="1" applyBorder="1" applyAlignment="1" applyProtection="1">
      <alignment horizontal="right" vertical="center"/>
      <protection locked="0"/>
    </xf>
    <xf numFmtId="0" fontId="30" fillId="0" borderId="0" xfId="0" applyFont="1" applyBorder="1" applyAlignment="1" applyProtection="1">
      <alignment horizontal="center" wrapText="1"/>
    </xf>
    <xf numFmtId="169" fontId="31" fillId="0" borderId="12" xfId="0" applyNumberFormat="1" applyFont="1" applyBorder="1" applyAlignment="1" applyProtection="1">
      <alignment horizontal="right" vertical="center"/>
    </xf>
    <xf numFmtId="0" fontId="30" fillId="0" borderId="0" xfId="0" applyFont="1" applyBorder="1" applyAlignment="1" applyProtection="1">
      <alignment vertical="top"/>
    </xf>
    <xf numFmtId="3" fontId="21" fillId="0" borderId="0" xfId="0" applyNumberFormat="1" applyFont="1" applyAlignment="1">
      <alignment horizontal="center" vertical="top"/>
    </xf>
    <xf numFmtId="3" fontId="26" fillId="0" borderId="0" xfId="0" applyNumberFormat="1" applyFont="1" applyBorder="1" applyAlignment="1">
      <alignment horizontal="center" vertical="center"/>
    </xf>
    <xf numFmtId="3" fontId="10" fillId="0" borderId="25" xfId="0" applyNumberFormat="1" applyFont="1" applyFill="1" applyBorder="1" applyAlignment="1">
      <alignment horizontal="center" vertical="center"/>
    </xf>
    <xf numFmtId="3" fontId="10" fillId="0" borderId="26" xfId="0" applyNumberFormat="1" applyFont="1" applyFill="1" applyBorder="1" applyAlignment="1">
      <alignment horizontal="center" vertical="center"/>
    </xf>
    <xf numFmtId="3" fontId="10" fillId="0" borderId="27" xfId="0" applyNumberFormat="1" applyFont="1" applyFill="1" applyBorder="1" applyAlignment="1">
      <alignment horizontal="center" vertical="center"/>
    </xf>
    <xf numFmtId="3" fontId="10" fillId="0" borderId="28" xfId="0" applyNumberFormat="1" applyFont="1" applyFill="1" applyBorder="1" applyAlignment="1">
      <alignment horizontal="center" vertical="center"/>
    </xf>
    <xf numFmtId="3" fontId="10" fillId="0" borderId="29" xfId="0" applyNumberFormat="1" applyFont="1" applyFill="1" applyBorder="1" applyAlignment="1">
      <alignment horizontal="center" vertical="center"/>
    </xf>
    <xf numFmtId="3" fontId="10" fillId="0" borderId="30" xfId="0" applyNumberFormat="1" applyFont="1" applyFill="1" applyBorder="1" applyAlignment="1">
      <alignment horizontal="center" vertical="center"/>
    </xf>
    <xf numFmtId="168" fontId="10" fillId="0" borderId="31" xfId="0" applyNumberFormat="1" applyFont="1" applyBorder="1" applyAlignment="1">
      <alignment horizontal="center" vertical="center"/>
    </xf>
    <xf numFmtId="168" fontId="10" fillId="0" borderId="32" xfId="0" applyNumberFormat="1" applyFont="1" applyBorder="1" applyAlignment="1">
      <alignment horizontal="center" vertical="center"/>
    </xf>
    <xf numFmtId="168" fontId="10" fillId="0" borderId="33" xfId="0" applyNumberFormat="1" applyFont="1" applyBorder="1" applyAlignment="1">
      <alignment horizontal="center" vertical="center"/>
    </xf>
    <xf numFmtId="166" fontId="10" fillId="0" borderId="34" xfId="0" applyNumberFormat="1" applyFont="1" applyBorder="1" applyAlignment="1">
      <alignment horizontal="right" vertical="center"/>
    </xf>
    <xf numFmtId="3" fontId="12" fillId="5" borderId="0" xfId="0" applyNumberFormat="1" applyFont="1" applyFill="1" applyBorder="1" applyAlignment="1">
      <alignment horizontal="center" vertical="center"/>
    </xf>
    <xf numFmtId="3" fontId="12" fillId="0" borderId="0" xfId="0" applyNumberFormat="1" applyFont="1" applyBorder="1" applyAlignment="1">
      <alignment horizontal="center" vertical="center"/>
    </xf>
    <xf numFmtId="3" fontId="10" fillId="0" borderId="0" xfId="0" applyNumberFormat="1" applyFont="1" applyAlignment="1">
      <alignment horizontal="center" vertical="center"/>
    </xf>
    <xf numFmtId="43" fontId="12" fillId="0" borderId="0" xfId="0" applyNumberFormat="1" applyFont="1" applyBorder="1" applyAlignment="1">
      <alignment horizontal="center" vertical="center"/>
    </xf>
    <xf numFmtId="43" fontId="10" fillId="0" borderId="0" xfId="0" applyNumberFormat="1" applyFont="1" applyBorder="1" applyAlignment="1">
      <alignment horizontal="center" vertical="center"/>
    </xf>
    <xf numFmtId="3" fontId="13" fillId="0" borderId="0" xfId="0" applyNumberFormat="1" applyFont="1" applyFill="1" applyAlignment="1" applyProtection="1">
      <alignment horizontal="center" vertical="center"/>
      <protection locked="0"/>
    </xf>
    <xf numFmtId="3" fontId="12" fillId="0" borderId="0" xfId="0" applyNumberFormat="1" applyFont="1" applyFill="1" applyAlignment="1" applyProtection="1">
      <alignment horizontal="center" vertical="center"/>
      <protection locked="0"/>
    </xf>
    <xf numFmtId="164" fontId="2" fillId="0" borderId="0" xfId="0" applyNumberFormat="1" applyFont="1" applyAlignment="1">
      <alignment horizontal="center" vertical="top"/>
    </xf>
    <xf numFmtId="0" fontId="8" fillId="3" borderId="0" xfId="0" applyFont="1" applyFill="1" applyAlignment="1">
      <alignment horizontal="center" vertical="center"/>
    </xf>
    <xf numFmtId="4" fontId="4" fillId="0" borderId="9" xfId="0" applyNumberFormat="1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43" fontId="2" fillId="0" borderId="0" xfId="0" applyNumberFormat="1" applyFont="1" applyAlignment="1">
      <alignment horizontal="center" vertical="center"/>
    </xf>
    <xf numFmtId="3" fontId="4" fillId="0" borderId="9" xfId="0" applyNumberFormat="1" applyFont="1" applyBorder="1" applyAlignment="1">
      <alignment horizontal="center"/>
    </xf>
    <xf numFmtId="41" fontId="2" fillId="0" borderId="0" xfId="0" applyNumberFormat="1" applyFont="1" applyAlignment="1">
      <alignment horizontal="center" vertical="center"/>
    </xf>
    <xf numFmtId="0" fontId="6" fillId="0" borderId="0" xfId="0" applyFont="1" applyFill="1" applyBorder="1" applyAlignment="1">
      <alignment horizontal="center" vertical="top"/>
    </xf>
    <xf numFmtId="0" fontId="7" fillId="0" borderId="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2" fillId="0" borderId="0" xfId="0" applyFont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43" fontId="2" fillId="0" borderId="6" xfId="0" applyNumberFormat="1" applyFont="1" applyBorder="1" applyAlignment="1">
      <alignment horizontal="center" vertical="center"/>
    </xf>
    <xf numFmtId="41" fontId="3" fillId="0" borderId="0" xfId="0" applyNumberFormat="1" applyFont="1" applyAlignment="1">
      <alignment horizontal="center" vertical="top"/>
    </xf>
    <xf numFmtId="43" fontId="3" fillId="0" borderId="0" xfId="0" applyNumberFormat="1" applyFont="1" applyAlignment="1">
      <alignment horizontal="center" vertical="top"/>
    </xf>
    <xf numFmtId="4" fontId="5" fillId="0" borderId="0" xfId="0" applyNumberFormat="1" applyFont="1" applyBorder="1" applyAlignment="1" applyProtection="1">
      <alignment horizontal="center" vertical="center"/>
      <protection locked="0"/>
    </xf>
    <xf numFmtId="41" fontId="2" fillId="0" borderId="6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43" fontId="2" fillId="0" borderId="0" xfId="0" applyNumberFormat="1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43" fontId="2" fillId="4" borderId="6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43" fontId="3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38" fontId="12" fillId="0" borderId="0" xfId="0" applyNumberFormat="1" applyFont="1" applyAlignment="1">
      <alignment horizontal="center"/>
    </xf>
    <xf numFmtId="38" fontId="13" fillId="0" borderId="0" xfId="0" applyNumberFormat="1" applyFont="1" applyFill="1" applyAlignment="1">
      <alignment horizontal="center"/>
    </xf>
    <xf numFmtId="38" fontId="11" fillId="0" borderId="0" xfId="0" applyNumberFormat="1" applyFont="1" applyAlignment="1">
      <alignment horizontal="center"/>
    </xf>
    <xf numFmtId="38" fontId="13" fillId="4" borderId="0" xfId="0" applyNumberFormat="1" applyFont="1" applyFill="1" applyAlignment="1">
      <alignment horizontal="center"/>
    </xf>
    <xf numFmtId="38" fontId="12" fillId="0" borderId="0" xfId="0" applyNumberFormat="1" applyFont="1" applyAlignment="1">
      <alignment horizontal="center" vertical="center"/>
    </xf>
    <xf numFmtId="38" fontId="14" fillId="0" borderId="0" xfId="0" applyNumberFormat="1" applyFont="1" applyAlignment="1">
      <alignment horizontal="center" vertical="top"/>
    </xf>
    <xf numFmtId="0" fontId="30" fillId="0" borderId="0" xfId="0" applyFont="1" applyAlignment="1" applyProtection="1">
      <alignment horizontal="left" vertical="center"/>
    </xf>
    <xf numFmtId="0" fontId="30" fillId="0" borderId="0" xfId="0" applyFont="1" applyAlignment="1" applyProtection="1">
      <alignment horizontal="right" vertical="center"/>
    </xf>
    <xf numFmtId="0" fontId="32" fillId="0" borderId="0" xfId="0" applyFont="1" applyFill="1" applyAlignment="1" applyProtection="1">
      <alignment horizontal="center"/>
    </xf>
    <xf numFmtId="0" fontId="31" fillId="0" borderId="13" xfId="0" applyFont="1" applyBorder="1" applyAlignment="1" applyProtection="1">
      <alignment horizontal="center" vertical="center"/>
    </xf>
    <xf numFmtId="0" fontId="31" fillId="0" borderId="14" xfId="0" applyFont="1" applyBorder="1" applyAlignment="1" applyProtection="1">
      <alignment horizontal="center" vertical="center"/>
    </xf>
    <xf numFmtId="0" fontId="30" fillId="0" borderId="36" xfId="0" applyFont="1" applyBorder="1" applyAlignment="1" applyProtection="1">
      <alignment horizontal="center" vertical="center"/>
    </xf>
    <xf numFmtId="0" fontId="30" fillId="0" borderId="12" xfId="0" applyFont="1" applyBorder="1" applyAlignment="1" applyProtection="1">
      <alignment horizontal="center" vertical="center"/>
    </xf>
    <xf numFmtId="0" fontId="30" fillId="0" borderId="0" xfId="0" applyFont="1" applyAlignment="1" applyProtection="1">
      <alignment horizontal="right" vertical="top" wrapText="1"/>
    </xf>
    <xf numFmtId="0" fontId="16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7" fillId="0" borderId="5" xfId="0" applyFont="1" applyBorder="1" applyAlignment="1">
      <alignment horizontal="right" vertical="center"/>
    </xf>
    <xf numFmtId="0" fontId="17" fillId="0" borderId="0" xfId="0" applyFont="1" applyAlignment="1">
      <alignment horizontal="left" vertical="center"/>
    </xf>
    <xf numFmtId="0" fontId="17" fillId="0" borderId="0" xfId="0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0" fontId="17" fillId="0" borderId="0" xfId="0" applyNumberFormat="1" applyFont="1" applyAlignment="1">
      <alignment horizontal="center"/>
    </xf>
  </cellXfs>
  <cellStyles count="2">
    <cellStyle name="Hyperlink" xfId="1" builtinId="8"/>
    <cellStyle name="Normal" xfId="0" builtinId="0"/>
  </cellStyles>
  <dxfs count="12">
    <dxf>
      <fill>
        <patternFill patternType="solid">
          <fgColor auto="1"/>
          <bgColor theme="0" tint="-4.9989318521683403E-2"/>
        </patternFill>
      </fill>
    </dxf>
    <dxf>
      <numFmt numFmtId="171" formatCode="0.00_);[Red]\(0.00\)"/>
    </dxf>
    <dxf>
      <numFmt numFmtId="171" formatCode="0.00_);[Red]\(0.00\)"/>
    </dxf>
    <dxf>
      <numFmt numFmtId="34" formatCode="_(&quot;$&quot;* #,##0.00_);_(&quot;$&quot;* \(#,##0.00\);_(&quot;$&quot;* &quot;-&quot;??_);_(@_)"/>
    </dxf>
    <dxf>
      <font>
        <color rgb="FFFF0000"/>
      </font>
      <numFmt numFmtId="35" formatCode="_(* #,##0.00_);_(* \(#,##0.00\);_(* &quot;-&quot;??_);_(@_)"/>
    </dxf>
    <dxf>
      <fill>
        <patternFill>
          <bgColor theme="3" tint="0.79998168889431442"/>
        </patternFill>
      </fill>
    </dxf>
    <dxf>
      <font>
        <color rgb="FF0070C0"/>
      </font>
    </dxf>
    <dxf>
      <font>
        <color rgb="FF00B050"/>
      </font>
    </dxf>
    <dxf>
      <font>
        <color rgb="FFFF0000"/>
      </font>
      <fill>
        <gradientFill degree="90">
          <stop position="0">
            <color theme="0"/>
          </stop>
          <stop position="1">
            <color theme="9" tint="0.80001220740379042"/>
          </stop>
        </gradientFill>
      </fill>
    </dxf>
    <dxf>
      <font>
        <color rgb="FF0070C0"/>
      </font>
    </dxf>
    <dxf>
      <font>
        <color rgb="FF00B050"/>
      </font>
      <fill>
        <gradientFill degree="90">
          <stop position="0">
            <color theme="0"/>
          </stop>
          <stop position="1">
            <color theme="6" tint="0.80001220740379042"/>
          </stop>
        </gradientFill>
      </fill>
    </dxf>
    <dxf>
      <fill>
        <patternFill>
          <bgColor theme="0" tint="-0.14996795556505021"/>
        </patternFill>
      </fill>
      <border>
        <left style="hair">
          <color auto="1"/>
        </left>
        <right style="hair">
          <color auto="1"/>
        </right>
        <top/>
        <bottom/>
      </border>
    </dxf>
  </dxfs>
  <tableStyles count="0" defaultTableStyle="TableStyleMedium9" defaultPivotStyle="PivotStyleLight16"/>
  <colors>
    <mruColors>
      <color rgb="FFFFFFB3"/>
      <color rgb="FFBDE3FF"/>
      <color rgb="FFBFFDD4"/>
      <color rgb="FFFFAFAF"/>
      <color rgb="FFFF8F8F"/>
      <color rgb="FFE9FBFD"/>
      <color rgb="FFF1EFF5"/>
      <color rgb="FFFAFA8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8</xdr:col>
          <xdr:colOff>647700</xdr:colOff>
          <xdr:row>25</xdr:row>
          <xdr:rowOff>0</xdr:rowOff>
        </xdr:to>
        <xdr:sp macro="" textlink="">
          <xdr:nvSpPr>
            <xdr:cNvPr id="4098" name="Group Box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Name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409575</xdr:colOff>
          <xdr:row>23</xdr:row>
          <xdr:rowOff>76200</xdr:rowOff>
        </xdr:from>
        <xdr:to>
          <xdr:col>4</xdr:col>
          <xdr:colOff>552450</xdr:colOff>
          <xdr:row>25</xdr:row>
          <xdr:rowOff>0</xdr:rowOff>
        </xdr:to>
        <xdr:sp macro="" textlink="">
          <xdr:nvSpPr>
            <xdr:cNvPr id="4099" name="Group Box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Name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24</xdr:row>
          <xdr:rowOff>0</xdr:rowOff>
        </xdr:from>
        <xdr:to>
          <xdr:col>13</xdr:col>
          <xdr:colOff>66675</xdr:colOff>
          <xdr:row>25</xdr:row>
          <xdr:rowOff>9525</xdr:rowOff>
        </xdr:to>
        <xdr:sp macro="" textlink="">
          <xdr:nvSpPr>
            <xdr:cNvPr id="4100" name="Group Box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Name 3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0</xdr:row>
          <xdr:rowOff>85725</xdr:rowOff>
        </xdr:from>
        <xdr:to>
          <xdr:col>5</xdr:col>
          <xdr:colOff>38100</xdr:colOff>
          <xdr:row>2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73152" rIns="36576" bIns="7315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FF"/>
                  </a:solidFill>
                  <a:latin typeface="Pyidaungsu"/>
                  <a:cs typeface="Pyidaungsu"/>
                </a:rPr>
                <a:t>Auto Set Notes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wiya1821@gmail.com(bokalay)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00B050"/>
  </sheetPr>
  <dimension ref="A1:O28"/>
  <sheetViews>
    <sheetView showGridLines="0" zoomScale="120" zoomScaleNormal="120" workbookViewId="0">
      <selection activeCell="A7" sqref="A7:K8"/>
    </sheetView>
  </sheetViews>
  <sheetFormatPr defaultRowHeight="15" x14ac:dyDescent="0.25"/>
  <cols>
    <col min="1" max="1" width="6.85546875" style="73" customWidth="1"/>
    <col min="2" max="2" width="8" style="73" bestFit="1" customWidth="1"/>
    <col min="3" max="3" width="8.85546875" style="73" customWidth="1"/>
    <col min="4" max="4" width="9.140625" style="73" customWidth="1"/>
    <col min="5" max="5" width="8.7109375" style="73" customWidth="1"/>
    <col min="6" max="6" width="9.42578125" style="73" bestFit="1" customWidth="1"/>
    <col min="7" max="7" width="8.85546875" style="73" customWidth="1"/>
    <col min="8" max="8" width="9.140625" style="73" customWidth="1"/>
    <col min="9" max="9" width="11.140625" style="73" customWidth="1"/>
    <col min="10" max="10" width="9.42578125" style="73" customWidth="1"/>
    <col min="11" max="11" width="8" style="73" customWidth="1"/>
    <col min="12" max="12" width="18.85546875" style="76" customWidth="1"/>
    <col min="13" max="13" width="0.85546875" style="76" hidden="1" customWidth="1"/>
    <col min="14" max="14" width="15.42578125" style="77" customWidth="1"/>
    <col min="15" max="16384" width="9.140625" style="73"/>
  </cols>
  <sheetData>
    <row r="1" spans="1:15" s="104" customFormat="1" ht="47.25" customHeight="1" x14ac:dyDescent="0.25">
      <c r="A1" s="128" t="s">
        <v>66</v>
      </c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</row>
    <row r="2" spans="1:15" ht="15" customHeight="1" thickBot="1" x14ac:dyDescent="0.3">
      <c r="A2" s="102"/>
      <c r="B2" s="102"/>
      <c r="C2" s="102"/>
      <c r="D2" s="103"/>
      <c r="E2" s="102"/>
      <c r="F2" s="102"/>
      <c r="G2" s="102"/>
      <c r="H2" s="102"/>
      <c r="I2" s="102"/>
      <c r="J2" s="102"/>
      <c r="K2" s="139">
        <f ca="1">TODAY()</f>
        <v>44929</v>
      </c>
      <c r="L2" s="139"/>
      <c r="M2" s="139"/>
      <c r="N2" s="139"/>
    </row>
    <row r="3" spans="1:15" ht="18.75" customHeight="1" x14ac:dyDescent="0.25">
      <c r="A3" s="92">
        <v>1</v>
      </c>
      <c r="B3" s="93">
        <v>5</v>
      </c>
      <c r="C3" s="93">
        <v>10</v>
      </c>
      <c r="D3" s="93">
        <v>20</v>
      </c>
      <c r="E3" s="93">
        <v>50</v>
      </c>
      <c r="F3" s="93">
        <v>100</v>
      </c>
      <c r="G3" s="93">
        <v>200</v>
      </c>
      <c r="H3" s="93">
        <v>500</v>
      </c>
      <c r="I3" s="93">
        <v>1000</v>
      </c>
      <c r="J3" s="93">
        <v>5000</v>
      </c>
      <c r="K3" s="93">
        <v>10000</v>
      </c>
      <c r="L3" s="94" t="s">
        <v>1</v>
      </c>
      <c r="M3" s="94"/>
      <c r="N3" s="95" t="s">
        <v>65</v>
      </c>
    </row>
    <row r="4" spans="1:15" ht="18.75" customHeight="1" x14ac:dyDescent="0.25">
      <c r="A4" s="109"/>
      <c r="B4" s="110">
        <v>0</v>
      </c>
      <c r="C4" s="110">
        <v>0</v>
      </c>
      <c r="D4" s="110">
        <v>0</v>
      </c>
      <c r="E4" s="110">
        <v>0</v>
      </c>
      <c r="F4" s="110">
        <v>0</v>
      </c>
      <c r="G4" s="110">
        <v>0</v>
      </c>
      <c r="H4" s="110">
        <v>0</v>
      </c>
      <c r="I4" s="110">
        <v>5000</v>
      </c>
      <c r="J4" s="110">
        <v>0</v>
      </c>
      <c r="K4" s="110">
        <v>0</v>
      </c>
      <c r="L4" s="96">
        <f>A3*A4+B3*B4+C3*C4+D3*D4+E3*E4+F3*F4+G3*G4+H3*H4+I3*I4+J3*J4+K3*K4</f>
        <v>5000000</v>
      </c>
      <c r="M4" s="96"/>
      <c r="N4" s="97" t="s">
        <v>18</v>
      </c>
      <c r="O4" s="74"/>
    </row>
    <row r="5" spans="1:15" ht="18.75" customHeight="1" x14ac:dyDescent="0.25">
      <c r="A5" s="136"/>
      <c r="B5" s="137"/>
      <c r="C5" s="137"/>
      <c r="D5" s="137"/>
      <c r="E5" s="137"/>
      <c r="F5" s="137"/>
      <c r="G5" s="137"/>
      <c r="H5" s="137"/>
      <c r="I5" s="137"/>
      <c r="J5" s="137"/>
      <c r="K5" s="138"/>
      <c r="L5" s="96" t="e">
        <f>K16</f>
        <v>#REF!</v>
      </c>
      <c r="M5" s="96"/>
      <c r="N5" s="97" t="s">
        <v>34</v>
      </c>
      <c r="O5" s="74"/>
    </row>
    <row r="6" spans="1:15" ht="18.75" customHeight="1" x14ac:dyDescent="0.25">
      <c r="A6" s="109">
        <v>5</v>
      </c>
      <c r="B6" s="110"/>
      <c r="C6" s="110">
        <v>1</v>
      </c>
      <c r="D6" s="110"/>
      <c r="E6" s="110"/>
      <c r="F6" s="110">
        <v>1</v>
      </c>
      <c r="G6" s="110">
        <v>1</v>
      </c>
      <c r="H6" s="110"/>
      <c r="I6" s="110">
        <v>3122</v>
      </c>
      <c r="J6" s="115"/>
      <c r="K6" s="110"/>
      <c r="L6" s="96">
        <f>A3*A6+B3*B6+C3*C6+D3*D6+E3*E6+F3*F6+G3*G6+H3*H6+I3*I6+J3*J6+K3*K6</f>
        <v>3122315</v>
      </c>
      <c r="M6" s="96"/>
      <c r="N6" s="97" t="s">
        <v>35</v>
      </c>
      <c r="O6" s="74"/>
    </row>
    <row r="7" spans="1:15" ht="18.75" customHeight="1" x14ac:dyDescent="0.25">
      <c r="A7" s="130"/>
      <c r="B7" s="131"/>
      <c r="C7" s="131"/>
      <c r="D7" s="131"/>
      <c r="E7" s="131"/>
      <c r="F7" s="131"/>
      <c r="G7" s="131"/>
      <c r="H7" s="131"/>
      <c r="I7" s="131"/>
      <c r="J7" s="131"/>
      <c r="K7" s="132"/>
      <c r="L7" s="98">
        <v>0.01</v>
      </c>
      <c r="M7" s="96"/>
      <c r="N7" s="97" t="s">
        <v>28</v>
      </c>
      <c r="O7" s="74"/>
    </row>
    <row r="8" spans="1:15" ht="18.75" customHeight="1" x14ac:dyDescent="0.25">
      <c r="A8" s="133"/>
      <c r="B8" s="134"/>
      <c r="C8" s="134"/>
      <c r="D8" s="134"/>
      <c r="E8" s="134"/>
      <c r="F8" s="134"/>
      <c r="G8" s="134"/>
      <c r="H8" s="134"/>
      <c r="I8" s="134"/>
      <c r="J8" s="134"/>
      <c r="K8" s="135"/>
      <c r="L8" s="99" t="e">
        <f>L5+L6+L7-L4</f>
        <v>#REF!</v>
      </c>
      <c r="M8" s="100"/>
      <c r="N8" s="101" t="e">
        <f>IF(L8=0,"DIFF(NIL)",IF(L8&gt;0,"DIFF(CREDIT)","DIFF(DEBIT)"))</f>
        <v>#REF!</v>
      </c>
    </row>
    <row r="11" spans="1:15" x14ac:dyDescent="0.25">
      <c r="L11" s="76" t="s">
        <v>33</v>
      </c>
    </row>
    <row r="12" spans="1:15" x14ac:dyDescent="0.25">
      <c r="A12" s="78"/>
      <c r="B12" s="141" t="s">
        <v>11</v>
      </c>
      <c r="C12" s="141"/>
      <c r="D12" s="141"/>
      <c r="E12" s="75"/>
      <c r="F12" s="141" t="s">
        <v>10</v>
      </c>
      <c r="G12" s="141"/>
      <c r="H12" s="141"/>
      <c r="I12" s="79"/>
      <c r="J12" s="141" t="s">
        <v>15</v>
      </c>
      <c r="K12" s="141"/>
      <c r="L12" s="141"/>
      <c r="M12" s="74"/>
    </row>
    <row r="13" spans="1:15" ht="19.5" customHeight="1" x14ac:dyDescent="0.25">
      <c r="A13" s="79"/>
      <c r="B13" s="85" t="s">
        <v>13</v>
      </c>
      <c r="C13" s="140" t="s">
        <v>14</v>
      </c>
      <c r="D13" s="140"/>
      <c r="E13" s="75"/>
      <c r="F13" s="85" t="s">
        <v>13</v>
      </c>
      <c r="G13" s="140" t="s">
        <v>14</v>
      </c>
      <c r="H13" s="140"/>
      <c r="I13" s="75"/>
      <c r="J13" s="86" t="s">
        <v>36</v>
      </c>
      <c r="K13" s="140" t="s">
        <v>39</v>
      </c>
      <c r="L13" s="140"/>
      <c r="M13" s="79"/>
    </row>
    <row r="14" spans="1:15" ht="18" customHeight="1" x14ac:dyDescent="0.25">
      <c r="A14" s="75" t="s">
        <v>3</v>
      </c>
      <c r="B14" s="87" t="e">
        <f>#REF!-F14</f>
        <v>#REF!</v>
      </c>
      <c r="C14" s="144" t="e">
        <f>#REF!-G14</f>
        <v>#REF!</v>
      </c>
      <c r="D14" s="144"/>
      <c r="E14" s="75"/>
      <c r="F14" s="87" t="e">
        <f>#REF!</f>
        <v>#REF!</v>
      </c>
      <c r="G14" s="144" t="e">
        <f>#REF!</f>
        <v>#REF!</v>
      </c>
      <c r="H14" s="144"/>
      <c r="I14" s="75"/>
      <c r="J14" s="88" t="s">
        <v>37</v>
      </c>
      <c r="K14" s="143" t="e">
        <f>C17</f>
        <v>#REF!</v>
      </c>
      <c r="L14" s="143"/>
      <c r="M14" s="80"/>
    </row>
    <row r="15" spans="1:15" ht="18" customHeight="1" x14ac:dyDescent="0.25">
      <c r="A15" s="75" t="s">
        <v>5</v>
      </c>
      <c r="B15" s="87" t="e">
        <f>#REF!-F15</f>
        <v>#REF!</v>
      </c>
      <c r="C15" s="144" t="e">
        <f>#REF!-G15</f>
        <v>#REF!</v>
      </c>
      <c r="D15" s="144"/>
      <c r="E15" s="75"/>
      <c r="F15" s="87" t="e">
        <f>#REF!</f>
        <v>#REF!</v>
      </c>
      <c r="G15" s="144" t="e">
        <f>#REF!</f>
        <v>#REF!</v>
      </c>
      <c r="H15" s="144"/>
      <c r="I15" s="75"/>
      <c r="J15" s="88" t="s">
        <v>38</v>
      </c>
      <c r="K15" s="143" t="e">
        <f>G17</f>
        <v>#REF!</v>
      </c>
      <c r="L15" s="143"/>
      <c r="M15" s="81"/>
    </row>
    <row r="16" spans="1:15" ht="18" customHeight="1" x14ac:dyDescent="0.25">
      <c r="A16" s="75" t="s">
        <v>4</v>
      </c>
      <c r="B16" s="87" t="e">
        <f>#REF!-F16</f>
        <v>#REF!</v>
      </c>
      <c r="C16" s="144" t="e">
        <f>#REF!-G16</f>
        <v>#REF!</v>
      </c>
      <c r="D16" s="144"/>
      <c r="E16" s="75"/>
      <c r="F16" s="87" t="e">
        <f>#REF!</f>
        <v>#REF!</v>
      </c>
      <c r="G16" s="144" t="e">
        <f>#REF!</f>
        <v>#REF!</v>
      </c>
      <c r="H16" s="144"/>
      <c r="I16" s="75"/>
      <c r="J16" s="91" t="s">
        <v>1</v>
      </c>
      <c r="K16" s="143" t="e">
        <f>K14+K15</f>
        <v>#REF!</v>
      </c>
      <c r="L16" s="143"/>
      <c r="M16" s="80"/>
    </row>
    <row r="17" spans="1:14" ht="18" customHeight="1" x14ac:dyDescent="0.25">
      <c r="A17" s="79" t="s">
        <v>1</v>
      </c>
      <c r="B17" s="89" t="e">
        <f>SUM(B14:B16)</f>
        <v>#REF!</v>
      </c>
      <c r="C17" s="143" t="e">
        <f>SUM(C14:C16)</f>
        <v>#REF!</v>
      </c>
      <c r="D17" s="143"/>
      <c r="E17" s="75"/>
      <c r="F17" s="89" t="e">
        <f t="shared" ref="F17:G17" si="0">SUM(F14:F16)</f>
        <v>#REF!</v>
      </c>
      <c r="G17" s="143" t="e">
        <f t="shared" si="0"/>
        <v>#REF!</v>
      </c>
      <c r="H17" s="143"/>
      <c r="I17" s="75"/>
      <c r="J17" s="75" t="s">
        <v>40</v>
      </c>
      <c r="K17" s="75"/>
      <c r="L17" s="90"/>
    </row>
    <row r="18" spans="1:14" x14ac:dyDescent="0.25">
      <c r="A18" s="105"/>
      <c r="B18" s="105"/>
      <c r="C18" s="105"/>
      <c r="D18" s="105"/>
      <c r="E18" s="105"/>
      <c r="F18" s="105"/>
      <c r="G18" s="105"/>
      <c r="H18" s="105"/>
      <c r="I18" s="105"/>
      <c r="J18" s="105"/>
      <c r="K18" s="105"/>
      <c r="L18" s="106"/>
      <c r="M18" s="106"/>
      <c r="N18" s="107"/>
    </row>
    <row r="19" spans="1:14" ht="32.25" customHeight="1" x14ac:dyDescent="0.25">
      <c r="F19" s="111"/>
      <c r="G19" s="111"/>
      <c r="H19" s="111"/>
      <c r="I19" s="111"/>
    </row>
    <row r="20" spans="1:14" ht="6" customHeight="1" x14ac:dyDescent="0.25">
      <c r="F20" s="112"/>
      <c r="G20" s="112"/>
      <c r="H20" s="112"/>
      <c r="I20" s="112"/>
    </row>
    <row r="21" spans="1:14" ht="21.75" customHeight="1" x14ac:dyDescent="0.25">
      <c r="F21" s="112"/>
      <c r="G21" s="129" t="s">
        <v>67</v>
      </c>
      <c r="H21" s="129"/>
      <c r="I21" s="112"/>
    </row>
    <row r="22" spans="1:14" ht="39.75" customHeight="1" x14ac:dyDescent="0.25">
      <c r="F22" s="112"/>
      <c r="G22" s="113" t="s">
        <v>68</v>
      </c>
      <c r="H22" s="114">
        <v>2</v>
      </c>
      <c r="I22" s="112"/>
    </row>
    <row r="23" spans="1:14" hidden="1" x14ac:dyDescent="0.25"/>
    <row r="24" spans="1:14" ht="6.75" customHeight="1" x14ac:dyDescent="0.25">
      <c r="H24" s="108"/>
    </row>
    <row r="25" spans="1:14" ht="42" customHeight="1" x14ac:dyDescent="0.25">
      <c r="A25" s="82"/>
      <c r="B25" s="146" t="s">
        <v>69</v>
      </c>
      <c r="C25" s="146"/>
      <c r="D25" s="146"/>
      <c r="E25" s="146"/>
      <c r="F25" s="145"/>
      <c r="G25" s="145"/>
      <c r="H25" s="145"/>
      <c r="I25" s="145"/>
      <c r="J25" s="146" t="s">
        <v>70</v>
      </c>
      <c r="K25" s="146"/>
      <c r="L25" s="146"/>
      <c r="M25" s="83"/>
      <c r="N25" s="84"/>
    </row>
    <row r="28" spans="1:14" x14ac:dyDescent="0.25">
      <c r="F28" s="142"/>
      <c r="G28" s="142"/>
      <c r="H28" s="142"/>
    </row>
  </sheetData>
  <sheetProtection sheet="1" objects="1" scenarios="1"/>
  <mergeCells count="26">
    <mergeCell ref="B25:E25"/>
    <mergeCell ref="G17:H17"/>
    <mergeCell ref="C14:D14"/>
    <mergeCell ref="C15:D15"/>
    <mergeCell ref="C16:D16"/>
    <mergeCell ref="C17:D17"/>
    <mergeCell ref="F28:H28"/>
    <mergeCell ref="K14:L14"/>
    <mergeCell ref="K15:L15"/>
    <mergeCell ref="K16:L16"/>
    <mergeCell ref="J12:L12"/>
    <mergeCell ref="K13:L13"/>
    <mergeCell ref="F12:H12"/>
    <mergeCell ref="G13:H13"/>
    <mergeCell ref="G14:H14"/>
    <mergeCell ref="G15:H15"/>
    <mergeCell ref="G16:H16"/>
    <mergeCell ref="F25:I25"/>
    <mergeCell ref="J25:L25"/>
    <mergeCell ref="A1:N1"/>
    <mergeCell ref="G21:H21"/>
    <mergeCell ref="A7:K8"/>
    <mergeCell ref="A5:K5"/>
    <mergeCell ref="K2:N2"/>
    <mergeCell ref="C13:D13"/>
    <mergeCell ref="B12:D12"/>
  </mergeCells>
  <conditionalFormatting sqref="B25:L25">
    <cfRule type="notContainsBlanks" dxfId="11" priority="14">
      <formula>LEN(TRIM(B25))&gt;0</formula>
    </cfRule>
  </conditionalFormatting>
  <conditionalFormatting sqref="N8">
    <cfRule type="expression" dxfId="10" priority="3">
      <formula xml:space="preserve"> $L$8 &gt; 0</formula>
    </cfRule>
    <cfRule type="expression" dxfId="9" priority="4">
      <formula xml:space="preserve"> $L$8 = 0</formula>
    </cfRule>
    <cfRule type="expression" dxfId="8" priority="5">
      <formula>$L$8 &lt; 0</formula>
    </cfRule>
  </conditionalFormatting>
  <conditionalFormatting sqref="L8">
    <cfRule type="cellIs" dxfId="7" priority="1" operator="greaterThan">
      <formula>0</formula>
    </cfRule>
    <cfRule type="cellIs" dxfId="6" priority="2" operator="equal">
      <formula>0</formula>
    </cfRule>
  </conditionalFormatting>
  <dataValidations count="1">
    <dataValidation type="decimal" operator="greaterThan" allowBlank="1" showInputMessage="1" showErrorMessage="1" errorTitle="Hey! Look out your input number!" error="Only numbers are allowed to set._x000a_Text or negative numbers are not allowed._x000a_Try again!" sqref="A4:K4 L7 A6:K6">
      <formula1>-1</formula1>
    </dataValidation>
  </dataValidations>
  <pageMargins left="0.7" right="0" top="0.75" bottom="0.75" header="0.3" footer="0.3"/>
  <pageSetup paperSize="9" orientation="landscape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Group Box 2">
              <controlPr defaultSize="0" print="0" autoFill="0" autoPict="0">
                <anchor mov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8</xdr:col>
                    <xdr:colOff>647700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Group Box 3">
              <controlPr defaultSize="0" print="0" autoFill="0" autoPict="0">
                <anchor moveWithCells="1">
                  <from>
                    <xdr:col>0</xdr:col>
                    <xdr:colOff>409575</xdr:colOff>
                    <xdr:row>23</xdr:row>
                    <xdr:rowOff>76200</xdr:rowOff>
                  </from>
                  <to>
                    <xdr:col>4</xdr:col>
                    <xdr:colOff>552450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Group Box 4">
              <controlPr defaultSize="0" print="0" autoFill="0" autoPict="0">
                <anchor moveWithCells="1">
                  <from>
                    <xdr:col>9</xdr:col>
                    <xdr:colOff>38100</xdr:colOff>
                    <xdr:row>24</xdr:row>
                    <xdr:rowOff>0</xdr:rowOff>
                  </from>
                  <to>
                    <xdr:col>13</xdr:col>
                    <xdr:colOff>66675</xdr:colOff>
                    <xdr:row>25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24"/>
  <sheetViews>
    <sheetView showGridLines="0" showRowColHeaders="0" topLeftCell="B7" workbookViewId="0">
      <selection activeCell="K6" sqref="K6"/>
    </sheetView>
  </sheetViews>
  <sheetFormatPr defaultRowHeight="18.75" x14ac:dyDescent="0.25"/>
  <cols>
    <col min="1" max="1" width="8.28515625" style="7" hidden="1" customWidth="1"/>
    <col min="2" max="2" width="0.28515625" style="7" customWidth="1"/>
    <col min="3" max="3" width="10.42578125" style="7" customWidth="1"/>
    <col min="4" max="4" width="2.85546875" style="7" bestFit="1" customWidth="1"/>
    <col min="5" max="5" width="9.140625" style="7" bestFit="1" customWidth="1"/>
    <col min="6" max="6" width="2.85546875" style="7" bestFit="1" customWidth="1"/>
    <col min="7" max="7" width="25.28515625" style="10" bestFit="1" customWidth="1"/>
    <col min="8" max="8" width="1.140625" style="7" customWidth="1"/>
    <col min="9" max="9" width="11.85546875" style="7" customWidth="1"/>
    <col min="10" max="10" width="2.85546875" style="7" bestFit="1" customWidth="1"/>
    <col min="11" max="11" width="6.28515625" style="7" customWidth="1"/>
    <col min="12" max="12" width="2.85546875" style="7" bestFit="1" customWidth="1"/>
    <col min="13" max="13" width="23" style="7" customWidth="1"/>
    <col min="14" max="14" width="89.28515625" style="7" customWidth="1"/>
    <col min="15" max="16384" width="9.140625" style="7"/>
  </cols>
  <sheetData>
    <row r="1" spans="2:13" ht="27" customHeight="1" x14ac:dyDescent="0.25">
      <c r="L1" s="147">
        <f ca="1">NOW()</f>
        <v>44929.935419444446</v>
      </c>
      <c r="M1" s="147"/>
    </row>
    <row r="2" spans="2:13" ht="45" customHeight="1" x14ac:dyDescent="0.25">
      <c r="C2" s="154" t="s">
        <v>9</v>
      </c>
      <c r="D2" s="154"/>
      <c r="E2" s="154"/>
      <c r="F2" s="154"/>
      <c r="G2" s="154"/>
      <c r="H2" s="154"/>
      <c r="I2" s="154"/>
      <c r="J2" s="154"/>
      <c r="K2" s="154"/>
      <c r="L2" s="154"/>
      <c r="M2" s="154"/>
    </row>
    <row r="3" spans="2:13" ht="30" customHeight="1" x14ac:dyDescent="0.25">
      <c r="B3" s="175"/>
      <c r="C3" s="157" t="s">
        <v>6</v>
      </c>
      <c r="D3" s="157"/>
      <c r="E3" s="157"/>
      <c r="F3" s="157"/>
      <c r="G3" s="157"/>
      <c r="H3" s="175"/>
      <c r="I3" s="157" t="s">
        <v>7</v>
      </c>
      <c r="J3" s="157"/>
      <c r="K3" s="157"/>
      <c r="L3" s="157"/>
      <c r="M3" s="157"/>
    </row>
    <row r="4" spans="2:13" ht="22.5" customHeight="1" x14ac:dyDescent="0.25">
      <c r="B4" s="175"/>
      <c r="C4" s="5">
        <v>10000</v>
      </c>
      <c r="D4" s="1" t="s">
        <v>2</v>
      </c>
      <c r="E4" s="8"/>
      <c r="F4" s="1" t="s">
        <v>0</v>
      </c>
      <c r="G4" s="13">
        <f>(C4*E4)</f>
        <v>0</v>
      </c>
      <c r="H4" s="175"/>
      <c r="I4" s="19">
        <v>10000</v>
      </c>
      <c r="J4" s="1" t="s">
        <v>2</v>
      </c>
      <c r="K4" s="20"/>
      <c r="L4" s="1" t="s">
        <v>0</v>
      </c>
      <c r="M4" s="11">
        <f>(I4*K4)*1000</f>
        <v>0</v>
      </c>
    </row>
    <row r="5" spans="2:13" ht="22.5" customHeight="1" x14ac:dyDescent="0.25">
      <c r="B5" s="175"/>
      <c r="C5" s="6">
        <v>5000</v>
      </c>
      <c r="D5" s="2" t="s">
        <v>2</v>
      </c>
      <c r="E5" s="9"/>
      <c r="F5" s="2" t="s">
        <v>0</v>
      </c>
      <c r="G5" s="14">
        <f t="shared" ref="G5:G14" si="0">(C5*E5)</f>
        <v>0</v>
      </c>
      <c r="H5" s="175"/>
      <c r="I5" s="4">
        <v>5000</v>
      </c>
      <c r="J5" s="2" t="s">
        <v>2</v>
      </c>
      <c r="K5" s="3"/>
      <c r="L5" s="2" t="s">
        <v>0</v>
      </c>
      <c r="M5" s="12">
        <f>(I5*K5)*1000</f>
        <v>0</v>
      </c>
    </row>
    <row r="6" spans="2:13" ht="22.5" customHeight="1" x14ac:dyDescent="0.25">
      <c r="B6" s="175"/>
      <c r="C6" s="6">
        <v>1000</v>
      </c>
      <c r="D6" s="2" t="s">
        <v>2</v>
      </c>
      <c r="E6" s="9">
        <v>1064</v>
      </c>
      <c r="F6" s="2" t="s">
        <v>0</v>
      </c>
      <c r="G6" s="14">
        <f t="shared" si="0"/>
        <v>1064000</v>
      </c>
      <c r="H6" s="175"/>
      <c r="I6" s="4">
        <v>1000</v>
      </c>
      <c r="J6" s="2" t="s">
        <v>2</v>
      </c>
      <c r="K6" s="3">
        <v>2</v>
      </c>
      <c r="L6" s="2" t="s">
        <v>0</v>
      </c>
      <c r="M6" s="12">
        <f>(I6*K6)*1000</f>
        <v>2000000</v>
      </c>
    </row>
    <row r="7" spans="2:13" ht="22.5" customHeight="1" x14ac:dyDescent="0.25">
      <c r="B7" s="175"/>
      <c r="C7" s="6">
        <v>500</v>
      </c>
      <c r="D7" s="2" t="s">
        <v>2</v>
      </c>
      <c r="E7" s="9">
        <v>2</v>
      </c>
      <c r="F7" s="2" t="s">
        <v>0</v>
      </c>
      <c r="G7" s="14">
        <f t="shared" si="0"/>
        <v>1000</v>
      </c>
      <c r="H7" s="175"/>
      <c r="I7" s="4">
        <v>500</v>
      </c>
      <c r="J7" s="2" t="s">
        <v>2</v>
      </c>
      <c r="K7" s="3"/>
      <c r="L7" s="2" t="s">
        <v>0</v>
      </c>
      <c r="M7" s="12">
        <f>(I7*K7)*1000</f>
        <v>0</v>
      </c>
    </row>
    <row r="8" spans="2:13" ht="22.5" customHeight="1" x14ac:dyDescent="0.25">
      <c r="B8" s="175"/>
      <c r="C8" s="6">
        <v>200</v>
      </c>
      <c r="D8" s="2" t="s">
        <v>2</v>
      </c>
      <c r="E8" s="9">
        <v>9</v>
      </c>
      <c r="F8" s="2" t="s">
        <v>0</v>
      </c>
      <c r="G8" s="14">
        <f t="shared" si="0"/>
        <v>1800</v>
      </c>
      <c r="H8" s="175"/>
      <c r="I8" s="155" t="s">
        <v>18</v>
      </c>
      <c r="J8" s="155"/>
      <c r="K8" s="155"/>
      <c r="L8" s="2" t="s">
        <v>0</v>
      </c>
      <c r="M8" s="32">
        <f>SUM(M4:M7)</f>
        <v>2000000</v>
      </c>
    </row>
    <row r="9" spans="2:13" ht="22.5" customHeight="1" x14ac:dyDescent="0.25">
      <c r="B9" s="175"/>
      <c r="C9" s="6">
        <v>100</v>
      </c>
      <c r="D9" s="2" t="s">
        <v>2</v>
      </c>
      <c r="E9" s="9">
        <v>9</v>
      </c>
      <c r="F9" s="2" t="s">
        <v>0</v>
      </c>
      <c r="G9" s="14">
        <f t="shared" si="0"/>
        <v>900</v>
      </c>
      <c r="H9" s="175"/>
      <c r="I9" s="156"/>
      <c r="J9" s="156"/>
      <c r="K9" s="156"/>
      <c r="L9" s="156"/>
      <c r="M9" s="156"/>
    </row>
    <row r="10" spans="2:13" ht="22.5" customHeight="1" x14ac:dyDescent="0.25">
      <c r="B10" s="175"/>
      <c r="C10" s="6">
        <v>50</v>
      </c>
      <c r="D10" s="2" t="s">
        <v>2</v>
      </c>
      <c r="E10" s="9"/>
      <c r="F10" s="2" t="s">
        <v>0</v>
      </c>
      <c r="G10" s="14">
        <f t="shared" si="0"/>
        <v>0</v>
      </c>
      <c r="H10" s="175"/>
      <c r="I10" s="18"/>
      <c r="J10" s="18"/>
      <c r="K10" s="18"/>
      <c r="L10" s="18"/>
      <c r="M10" s="18"/>
    </row>
    <row r="11" spans="2:13" ht="22.5" customHeight="1" x14ac:dyDescent="0.25">
      <c r="B11" s="175"/>
      <c r="C11" s="6">
        <v>20</v>
      </c>
      <c r="D11" s="2" t="s">
        <v>2</v>
      </c>
      <c r="E11" s="9"/>
      <c r="F11" s="2" t="s">
        <v>0</v>
      </c>
      <c r="G11" s="14">
        <f t="shared" si="0"/>
        <v>0</v>
      </c>
      <c r="H11" s="175"/>
      <c r="I11" s="148" t="s">
        <v>10</v>
      </c>
      <c r="J11" s="148"/>
      <c r="K11" s="148"/>
      <c r="L11" s="148"/>
      <c r="M11" s="148"/>
    </row>
    <row r="12" spans="2:13" ht="22.5" customHeight="1" thickBot="1" x14ac:dyDescent="0.4">
      <c r="B12" s="175"/>
      <c r="C12" s="6">
        <v>10</v>
      </c>
      <c r="D12" s="2" t="s">
        <v>2</v>
      </c>
      <c r="E12" s="9"/>
      <c r="F12" s="2" t="s">
        <v>0</v>
      </c>
      <c r="G12" s="14">
        <f t="shared" si="0"/>
        <v>0</v>
      </c>
      <c r="H12" s="175"/>
      <c r="I12" s="24" t="s">
        <v>12</v>
      </c>
      <c r="J12" s="152" t="s">
        <v>13</v>
      </c>
      <c r="K12" s="152"/>
      <c r="L12" s="149" t="s">
        <v>14</v>
      </c>
      <c r="M12" s="150"/>
    </row>
    <row r="13" spans="2:13" ht="22.5" customHeight="1" x14ac:dyDescent="0.25">
      <c r="B13" s="175"/>
      <c r="C13" s="6">
        <v>5</v>
      </c>
      <c r="D13" s="2" t="s">
        <v>2</v>
      </c>
      <c r="E13" s="9"/>
      <c r="F13" s="2" t="s">
        <v>0</v>
      </c>
      <c r="G13" s="14">
        <f t="shared" si="0"/>
        <v>0</v>
      </c>
      <c r="H13" s="175"/>
      <c r="I13" s="16" t="s">
        <v>3</v>
      </c>
      <c r="J13" s="153" t="e">
        <f>#REF!</f>
        <v>#REF!</v>
      </c>
      <c r="K13" s="153"/>
      <c r="L13" s="151" t="e">
        <f>#REF!</f>
        <v>#REF!</v>
      </c>
      <c r="M13" s="151"/>
    </row>
    <row r="14" spans="2:13" ht="22.5" customHeight="1" x14ac:dyDescent="0.25">
      <c r="B14" s="175"/>
      <c r="C14" s="6">
        <v>1</v>
      </c>
      <c r="D14" s="2" t="s">
        <v>2</v>
      </c>
      <c r="E14" s="9"/>
      <c r="F14" s="2" t="s">
        <v>0</v>
      </c>
      <c r="G14" s="14">
        <f t="shared" si="0"/>
        <v>0</v>
      </c>
      <c r="H14" s="175"/>
      <c r="I14" s="16" t="s">
        <v>5</v>
      </c>
      <c r="J14" s="153" t="e">
        <f>#REF!</f>
        <v>#REF!</v>
      </c>
      <c r="K14" s="153"/>
      <c r="L14" s="151" t="e">
        <f>#REF!</f>
        <v>#REF!</v>
      </c>
      <c r="M14" s="151"/>
    </row>
    <row r="15" spans="2:13" ht="25.5" customHeight="1" thickBot="1" x14ac:dyDescent="0.3">
      <c r="B15" s="175"/>
      <c r="C15" s="176" t="s">
        <v>17</v>
      </c>
      <c r="D15" s="176"/>
      <c r="E15" s="176"/>
      <c r="F15" s="2" t="s">
        <v>0</v>
      </c>
      <c r="G15" s="15">
        <f>SUM(G4:G14)</f>
        <v>1067700</v>
      </c>
      <c r="H15" s="175"/>
      <c r="I15" s="17" t="s">
        <v>4</v>
      </c>
      <c r="J15" s="167" t="e">
        <f>#REF!</f>
        <v>#REF!</v>
      </c>
      <c r="K15" s="167"/>
      <c r="L15" s="163" t="e">
        <f>#REF!</f>
        <v>#REF!</v>
      </c>
      <c r="M15" s="163"/>
    </row>
    <row r="16" spans="2:13" ht="25.5" customHeight="1" thickTop="1" x14ac:dyDescent="0.25">
      <c r="B16" s="175"/>
      <c r="C16" s="176" t="s">
        <v>15</v>
      </c>
      <c r="D16" s="176"/>
      <c r="E16" s="176"/>
      <c r="F16" s="2" t="s">
        <v>0</v>
      </c>
      <c r="G16" s="31">
        <f>L22</f>
        <v>0</v>
      </c>
      <c r="H16" s="175"/>
      <c r="I16" s="21" t="s">
        <v>1</v>
      </c>
      <c r="J16" s="164" t="e">
        <f>SUM(J13:J15)</f>
        <v>#REF!</v>
      </c>
      <c r="K16" s="164"/>
      <c r="L16" s="165" t="e">
        <f>SUM(L13:L15)</f>
        <v>#REF!</v>
      </c>
      <c r="M16" s="165"/>
    </row>
    <row r="17" spans="2:13" ht="25.5" customHeight="1" x14ac:dyDescent="0.25">
      <c r="B17" s="175"/>
      <c r="C17" s="160" t="s">
        <v>18</v>
      </c>
      <c r="D17" s="161"/>
      <c r="E17" s="162"/>
      <c r="F17" s="2" t="s">
        <v>0</v>
      </c>
      <c r="G17" s="31">
        <f>M8</f>
        <v>2000000</v>
      </c>
      <c r="H17" s="175"/>
      <c r="I17" s="21"/>
      <c r="J17" s="22"/>
      <c r="K17" s="22"/>
      <c r="L17" s="23"/>
      <c r="M17" s="23"/>
    </row>
    <row r="18" spans="2:13" ht="25.5" customHeight="1" x14ac:dyDescent="0.25">
      <c r="B18" s="175"/>
      <c r="C18" s="160" t="s">
        <v>19</v>
      </c>
      <c r="D18" s="161"/>
      <c r="E18" s="162"/>
      <c r="F18" s="2" t="s">
        <v>0</v>
      </c>
      <c r="G18" s="31" t="e">
        <f>#REF!</f>
        <v>#REF!</v>
      </c>
      <c r="H18" s="175"/>
      <c r="I18" s="21"/>
      <c r="J18" s="25"/>
      <c r="K18" s="25"/>
      <c r="L18" s="26"/>
      <c r="M18" s="26"/>
    </row>
    <row r="19" spans="2:13" ht="25.5" customHeight="1" x14ac:dyDescent="0.25">
      <c r="B19" s="175"/>
      <c r="C19" s="179" t="s">
        <v>16</v>
      </c>
      <c r="D19" s="179"/>
      <c r="E19" s="179"/>
      <c r="F19" s="34" t="s">
        <v>0</v>
      </c>
      <c r="G19" s="35" t="e">
        <f>(G15+G18)-(G16+G17)</f>
        <v>#REF!</v>
      </c>
      <c r="H19" s="175"/>
      <c r="I19" s="148" t="s">
        <v>15</v>
      </c>
      <c r="J19" s="148"/>
      <c r="K19" s="148"/>
      <c r="L19" s="148"/>
      <c r="M19" s="148"/>
    </row>
    <row r="20" spans="2:13" ht="25.5" customHeight="1" x14ac:dyDescent="0.25">
      <c r="B20" s="175"/>
      <c r="C20" s="177"/>
      <c r="D20" s="177"/>
      <c r="E20" s="177"/>
      <c r="F20" s="28"/>
      <c r="G20" s="36"/>
      <c r="H20" s="175"/>
      <c r="I20" s="168"/>
      <c r="J20" s="168"/>
      <c r="K20" s="30" t="s">
        <v>0</v>
      </c>
      <c r="L20" s="170"/>
      <c r="M20" s="171"/>
    </row>
    <row r="21" spans="2:13" ht="25.5" customHeight="1" thickBot="1" x14ac:dyDescent="0.3">
      <c r="B21" s="175"/>
      <c r="C21" s="178"/>
      <c r="D21" s="178"/>
      <c r="E21" s="178"/>
      <c r="F21" s="29"/>
      <c r="G21" s="33"/>
      <c r="H21" s="175"/>
      <c r="I21" s="169"/>
      <c r="J21" s="169"/>
      <c r="K21" s="17" t="s">
        <v>0</v>
      </c>
      <c r="L21" s="172"/>
      <c r="M21" s="172"/>
    </row>
    <row r="22" spans="2:13" ht="28.5" customHeight="1" thickTop="1" x14ac:dyDescent="0.25">
      <c r="B22" s="175"/>
      <c r="C22" s="171"/>
      <c r="D22" s="171"/>
      <c r="E22" s="171"/>
      <c r="F22" s="171"/>
      <c r="G22" s="171"/>
      <c r="H22" s="175"/>
      <c r="I22" s="173" t="s">
        <v>1</v>
      </c>
      <c r="J22" s="173"/>
      <c r="K22" s="16" t="s">
        <v>0</v>
      </c>
      <c r="L22" s="174">
        <f>SUM(L20:L21)</f>
        <v>0</v>
      </c>
      <c r="M22" s="174"/>
    </row>
    <row r="23" spans="2:13" ht="140.25" customHeight="1" x14ac:dyDescent="0.25">
      <c r="B23" s="27"/>
      <c r="C23" s="29"/>
      <c r="D23" s="29"/>
      <c r="E23" s="29"/>
      <c r="F23" s="29"/>
      <c r="G23" s="29"/>
      <c r="H23" s="27"/>
      <c r="I23" s="16"/>
      <c r="J23" s="16"/>
      <c r="K23" s="16"/>
      <c r="L23" s="16"/>
      <c r="M23" s="16"/>
    </row>
    <row r="24" spans="2:13" ht="44.25" customHeight="1" x14ac:dyDescent="0.25">
      <c r="C24" s="159"/>
      <c r="D24" s="159"/>
      <c r="E24" s="158"/>
      <c r="F24" s="166" t="s">
        <v>8</v>
      </c>
      <c r="G24" s="166"/>
      <c r="H24" s="166"/>
      <c r="I24" s="166"/>
      <c r="J24" s="166"/>
      <c r="K24" s="158"/>
      <c r="L24" s="159"/>
      <c r="M24" s="159"/>
    </row>
  </sheetData>
  <sheetProtection password="CF4D" sheet="1" objects="1" scenarios="1"/>
  <mergeCells count="37">
    <mergeCell ref="B3:B22"/>
    <mergeCell ref="C3:G3"/>
    <mergeCell ref="H3:H22"/>
    <mergeCell ref="C22:G22"/>
    <mergeCell ref="C15:E15"/>
    <mergeCell ref="C16:E16"/>
    <mergeCell ref="C20:E20"/>
    <mergeCell ref="C21:E21"/>
    <mergeCell ref="C19:E19"/>
    <mergeCell ref="K24:M24"/>
    <mergeCell ref="C17:E17"/>
    <mergeCell ref="L15:M15"/>
    <mergeCell ref="J16:K16"/>
    <mergeCell ref="L16:M16"/>
    <mergeCell ref="C24:E24"/>
    <mergeCell ref="F24:J24"/>
    <mergeCell ref="J15:K15"/>
    <mergeCell ref="I19:M19"/>
    <mergeCell ref="I20:J20"/>
    <mergeCell ref="I21:J21"/>
    <mergeCell ref="L20:M20"/>
    <mergeCell ref="L21:M21"/>
    <mergeCell ref="I22:J22"/>
    <mergeCell ref="L22:M22"/>
    <mergeCell ref="C18:E18"/>
    <mergeCell ref="L1:M1"/>
    <mergeCell ref="I11:M11"/>
    <mergeCell ref="L12:M12"/>
    <mergeCell ref="L13:M13"/>
    <mergeCell ref="L14:M14"/>
    <mergeCell ref="J12:K12"/>
    <mergeCell ref="J13:K13"/>
    <mergeCell ref="J14:K14"/>
    <mergeCell ref="C2:M2"/>
    <mergeCell ref="I8:K8"/>
    <mergeCell ref="I9:M9"/>
    <mergeCell ref="I3:M3"/>
  </mergeCells>
  <conditionalFormatting sqref="E4:E14 K4:K7">
    <cfRule type="notContainsBlanks" dxfId="5" priority="2">
      <formula>LEN(TRIM(E4))&gt;0</formula>
    </cfRule>
  </conditionalFormatting>
  <pageMargins left="0.3" right="0.3" top="0.75" bottom="0.75" header="0.3" footer="0.3"/>
  <pageSetup paperSize="9" orientation="portrait" verticalDpi="3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34"/>
  <sheetViews>
    <sheetView showGridLines="0" showRowColHeaders="0" topLeftCell="B1" workbookViewId="0">
      <selection activeCell="N7" sqref="N7"/>
    </sheetView>
  </sheetViews>
  <sheetFormatPr defaultRowHeight="15" x14ac:dyDescent="0.25"/>
  <cols>
    <col min="1" max="1" width="6.7109375" style="37" hidden="1" customWidth="1"/>
    <col min="2" max="3" width="6.7109375" style="37" bestFit="1" customWidth="1"/>
    <col min="4" max="4" width="16" style="37" bestFit="1" customWidth="1"/>
    <col min="5" max="5" width="5.5703125" style="37" bestFit="1" customWidth="1"/>
    <col min="6" max="6" width="6.7109375" style="37" bestFit="1" customWidth="1"/>
    <col min="7" max="11" width="16" style="37" bestFit="1" customWidth="1"/>
    <col min="12" max="12" width="17.28515625" style="37" bestFit="1" customWidth="1"/>
    <col min="13" max="13" width="0.85546875" style="37" customWidth="1"/>
    <col min="14" max="14" width="18.42578125" style="52" bestFit="1" customWidth="1"/>
    <col min="15" max="16384" width="9.140625" style="37"/>
  </cols>
  <sheetData>
    <row r="1" spans="1:14" x14ac:dyDescent="0.25">
      <c r="N1" s="64">
        <f ca="1">NOW()</f>
        <v>44929.935419444446</v>
      </c>
    </row>
    <row r="2" spans="1:14" ht="33.75" customHeight="1" x14ac:dyDescent="0.25">
      <c r="A2" s="185" t="s">
        <v>27</v>
      </c>
      <c r="B2" s="185"/>
      <c r="C2" s="185"/>
      <c r="D2" s="185"/>
      <c r="E2" s="185"/>
      <c r="F2" s="185"/>
      <c r="G2" s="185"/>
      <c r="H2" s="185"/>
      <c r="I2" s="185"/>
      <c r="J2" s="185"/>
      <c r="K2" s="185"/>
      <c r="L2" s="185"/>
      <c r="M2" s="185"/>
      <c r="N2" s="185"/>
    </row>
    <row r="3" spans="1:14" x14ac:dyDescent="0.25">
      <c r="A3" s="182" t="s">
        <v>20</v>
      </c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</row>
    <row r="4" spans="1:14" x14ac:dyDescent="0.25">
      <c r="A4" s="43"/>
      <c r="B4" s="43">
        <v>1</v>
      </c>
      <c r="C4" s="43">
        <v>5</v>
      </c>
      <c r="D4" s="43">
        <v>10</v>
      </c>
      <c r="E4" s="43">
        <v>20</v>
      </c>
      <c r="F4" s="43">
        <v>50</v>
      </c>
      <c r="G4" s="43">
        <v>100</v>
      </c>
      <c r="H4" s="43">
        <v>200</v>
      </c>
      <c r="I4" s="43">
        <v>500</v>
      </c>
      <c r="J4" s="43">
        <v>1000</v>
      </c>
      <c r="K4" s="43">
        <v>5000</v>
      </c>
      <c r="L4" s="43">
        <v>10000</v>
      </c>
    </row>
    <row r="5" spans="1:14" x14ac:dyDescent="0.25">
      <c r="A5" s="48"/>
      <c r="B5" s="49"/>
      <c r="C5" s="49"/>
      <c r="D5" s="49"/>
      <c r="E5" s="49"/>
      <c r="F5" s="49"/>
      <c r="G5" s="49"/>
      <c r="H5" s="49"/>
      <c r="I5" s="49"/>
      <c r="J5" s="49">
        <v>1168</v>
      </c>
      <c r="K5" s="49"/>
      <c r="L5" s="49"/>
      <c r="N5" s="53">
        <f>L4*L5+K4*K5+J4*J5+I4*I5+H4*H5+G4*G5+F4*F5+E4*E5+D4*D5+C4*C5+B4*B5+A5</f>
        <v>1168000</v>
      </c>
    </row>
    <row r="6" spans="1:14" x14ac:dyDescent="0.25">
      <c r="A6" s="48"/>
      <c r="B6" s="62"/>
      <c r="C6" s="62"/>
      <c r="D6" s="62"/>
      <c r="E6" s="62"/>
      <c r="F6" s="62"/>
      <c r="G6" s="62"/>
      <c r="H6" s="62"/>
      <c r="I6" s="62"/>
      <c r="J6" s="62"/>
      <c r="K6" s="63" t="s">
        <v>28</v>
      </c>
      <c r="L6" s="48">
        <v>0.78</v>
      </c>
      <c r="N6" s="57">
        <f>L6</f>
        <v>0.78</v>
      </c>
    </row>
    <row r="7" spans="1:14" x14ac:dyDescent="0.25">
      <c r="N7" s="52">
        <f>N5+N6</f>
        <v>1168000.78</v>
      </c>
    </row>
    <row r="9" spans="1:14" x14ac:dyDescent="0.25">
      <c r="I9" s="182" t="s">
        <v>7</v>
      </c>
      <c r="J9" s="182"/>
      <c r="K9" s="182"/>
      <c r="L9" s="182"/>
    </row>
    <row r="10" spans="1:14" x14ac:dyDescent="0.25">
      <c r="I10" s="39">
        <v>500</v>
      </c>
      <c r="J10" s="39">
        <v>1000</v>
      </c>
      <c r="K10" s="39">
        <v>5000</v>
      </c>
      <c r="L10" s="39">
        <v>10000</v>
      </c>
    </row>
    <row r="11" spans="1:14" x14ac:dyDescent="0.25">
      <c r="I11" s="40"/>
      <c r="J11" s="40">
        <v>2</v>
      </c>
      <c r="K11" s="40"/>
      <c r="L11" s="40"/>
      <c r="N11" s="52">
        <f>(I10*I11*1000)+(J10*J11*1000)+(K10*K11*1000)+(L10*L11*1000)</f>
        <v>2000000</v>
      </c>
    </row>
    <row r="13" spans="1:14" x14ac:dyDescent="0.25">
      <c r="H13" s="182" t="s">
        <v>15</v>
      </c>
      <c r="I13" s="182"/>
      <c r="J13" s="182"/>
      <c r="K13" s="182"/>
      <c r="L13" s="182"/>
    </row>
    <row r="14" spans="1:14" x14ac:dyDescent="0.25">
      <c r="H14" s="42" t="s">
        <v>21</v>
      </c>
      <c r="I14" s="42" t="s">
        <v>22</v>
      </c>
      <c r="J14" s="42" t="s">
        <v>23</v>
      </c>
      <c r="K14" s="42" t="s">
        <v>24</v>
      </c>
      <c r="L14" s="42" t="s">
        <v>25</v>
      </c>
    </row>
    <row r="15" spans="1:14" x14ac:dyDescent="0.25">
      <c r="H15" s="58"/>
      <c r="I15" s="58"/>
      <c r="J15" s="58"/>
      <c r="K15" s="58"/>
      <c r="L15" s="58"/>
      <c r="M15" s="55"/>
      <c r="N15" s="53"/>
    </row>
    <row r="16" spans="1:14" x14ac:dyDescent="0.25">
      <c r="H16" s="61" t="s">
        <v>29</v>
      </c>
      <c r="I16" s="61" t="s">
        <v>30</v>
      </c>
      <c r="J16" s="61" t="s">
        <v>31</v>
      </c>
      <c r="K16" s="61" t="s">
        <v>32</v>
      </c>
      <c r="L16" s="55"/>
      <c r="M16" s="55"/>
      <c r="N16" s="53"/>
    </row>
    <row r="17" spans="1:14" x14ac:dyDescent="0.25">
      <c r="H17" s="58"/>
      <c r="I17" s="58"/>
      <c r="J17" s="58"/>
      <c r="K17" s="58"/>
      <c r="L17" s="59"/>
      <c r="M17" s="55"/>
      <c r="N17" s="53">
        <f>H15+I15+J15+K15+H17+I17+J17+L15+K17</f>
        <v>0</v>
      </c>
    </row>
    <row r="19" spans="1:14" x14ac:dyDescent="0.25">
      <c r="A19" s="182" t="s">
        <v>26</v>
      </c>
      <c r="B19" s="182"/>
      <c r="C19" s="182"/>
      <c r="D19" s="182"/>
      <c r="E19" s="182"/>
      <c r="F19" s="182"/>
      <c r="G19" s="182"/>
      <c r="H19" s="182"/>
      <c r="I19" s="182"/>
      <c r="J19" s="182"/>
      <c r="K19" s="182"/>
      <c r="L19" s="182"/>
    </row>
    <row r="20" spans="1:14" x14ac:dyDescent="0.25">
      <c r="B20" s="41"/>
      <c r="C20" s="184" t="s">
        <v>11</v>
      </c>
      <c r="D20" s="184"/>
      <c r="E20" s="41"/>
      <c r="F20" s="184" t="s">
        <v>10</v>
      </c>
      <c r="G20" s="184"/>
      <c r="H20" s="41"/>
      <c r="I20" s="41"/>
      <c r="J20" s="41"/>
      <c r="K20" s="184" t="s">
        <v>1</v>
      </c>
      <c r="L20" s="184"/>
    </row>
    <row r="21" spans="1:14" x14ac:dyDescent="0.25">
      <c r="C21" s="42" t="s">
        <v>13</v>
      </c>
      <c r="D21" s="42" t="s">
        <v>14</v>
      </c>
      <c r="E21" s="39"/>
      <c r="F21" s="42" t="s">
        <v>13</v>
      </c>
      <c r="G21" s="42" t="s">
        <v>14</v>
      </c>
      <c r="H21" s="39"/>
      <c r="I21" s="39"/>
      <c r="J21" s="39"/>
      <c r="K21" s="42" t="s">
        <v>13</v>
      </c>
      <c r="L21" s="43" t="s">
        <v>14</v>
      </c>
    </row>
    <row r="22" spans="1:14" x14ac:dyDescent="0.25">
      <c r="A22" s="44"/>
      <c r="B22" s="42" t="s">
        <v>3</v>
      </c>
      <c r="C22" s="50">
        <v>1</v>
      </c>
      <c r="D22" s="38">
        <v>448500</v>
      </c>
      <c r="F22" s="50"/>
      <c r="G22" s="38"/>
      <c r="K22" s="45">
        <f>C22+F22</f>
        <v>1</v>
      </c>
      <c r="L22" s="38">
        <f>D22+G22</f>
        <v>448500</v>
      </c>
    </row>
    <row r="23" spans="1:14" x14ac:dyDescent="0.25">
      <c r="A23" s="44"/>
      <c r="B23" s="42" t="s">
        <v>5</v>
      </c>
      <c r="C23" s="50">
        <v>1</v>
      </c>
      <c r="D23" s="38">
        <v>383150.22</v>
      </c>
      <c r="F23" s="50"/>
      <c r="G23" s="38"/>
      <c r="K23" s="45">
        <f t="shared" ref="K23:K24" si="0">C23+F23</f>
        <v>1</v>
      </c>
      <c r="L23" s="38">
        <f t="shared" ref="L23:L24" si="1">D23+G23</f>
        <v>383150.22</v>
      </c>
    </row>
    <row r="24" spans="1:14" x14ac:dyDescent="0.25">
      <c r="A24" s="44"/>
      <c r="B24" s="42" t="s">
        <v>4</v>
      </c>
      <c r="C24" s="51"/>
      <c r="D24" s="47"/>
      <c r="F24" s="51"/>
      <c r="G24" s="47" t="s">
        <v>33</v>
      </c>
      <c r="K24" s="46">
        <f t="shared" si="0"/>
        <v>0</v>
      </c>
      <c r="L24" s="47" t="e">
        <f t="shared" si="1"/>
        <v>#VALUE!</v>
      </c>
    </row>
    <row r="25" spans="1:14" x14ac:dyDescent="0.25">
      <c r="A25" s="44"/>
      <c r="B25" s="42" t="s">
        <v>1</v>
      </c>
      <c r="C25" s="50">
        <f>SUM(C22:C24)</f>
        <v>2</v>
      </c>
      <c r="D25" s="38">
        <f>SUM(D22:D24)</f>
        <v>831650.22</v>
      </c>
      <c r="F25" s="50">
        <f t="shared" ref="F25" si="2">SUM(F22:F24)</f>
        <v>0</v>
      </c>
      <c r="G25" s="38">
        <f t="shared" ref="G25" si="3">SUM(G22:G24)</f>
        <v>0</v>
      </c>
      <c r="K25" s="45">
        <f t="shared" ref="K25:L25" si="4">SUM(K22:K24)</f>
        <v>2</v>
      </c>
      <c r="L25" s="38" t="e">
        <f t="shared" si="4"/>
        <v>#VALUE!</v>
      </c>
      <c r="N25" s="52" t="e">
        <f>L25</f>
        <v>#VALUE!</v>
      </c>
    </row>
    <row r="26" spans="1:14" x14ac:dyDescent="0.25">
      <c r="B26" s="56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7"/>
    </row>
    <row r="27" spans="1:14" x14ac:dyDescent="0.25">
      <c r="L27" s="60" t="s">
        <v>16</v>
      </c>
      <c r="N27" s="54" t="e">
        <f>(N25+N7)-(N17+N11)</f>
        <v>#VALUE!</v>
      </c>
    </row>
    <row r="32" spans="1:14" ht="18.75" x14ac:dyDescent="0.3">
      <c r="H32" s="183" t="s">
        <v>8</v>
      </c>
      <c r="I32" s="183"/>
    </row>
    <row r="33" spans="8:9" x14ac:dyDescent="0.25">
      <c r="H33" s="180"/>
      <c r="I33" s="180"/>
    </row>
    <row r="34" spans="8:9" ht="18.75" x14ac:dyDescent="0.3">
      <c r="H34" s="181"/>
      <c r="I34" s="181"/>
    </row>
  </sheetData>
  <sheetProtection password="CF4D" sheet="1" objects="1" scenarios="1"/>
  <mergeCells count="11">
    <mergeCell ref="A2:N2"/>
    <mergeCell ref="H13:L13"/>
    <mergeCell ref="C20:D20"/>
    <mergeCell ref="F20:G20"/>
    <mergeCell ref="A3:L3"/>
    <mergeCell ref="A19:L19"/>
    <mergeCell ref="H33:I33"/>
    <mergeCell ref="H34:I34"/>
    <mergeCell ref="I9:L9"/>
    <mergeCell ref="H32:I32"/>
    <mergeCell ref="K20:L20"/>
  </mergeCells>
  <conditionalFormatting sqref="N27">
    <cfRule type="cellIs" dxfId="4" priority="1" operator="lessThan">
      <formula>0</formula>
    </cfRule>
    <cfRule type="cellIs" dxfId="3" priority="2" operator="lessThan">
      <formula>0</formula>
    </cfRule>
    <cfRule type="cellIs" dxfId="2" priority="3" operator="lessThan">
      <formula>0</formula>
    </cfRule>
    <cfRule type="cellIs" dxfId="1" priority="4" operator="lessThan">
      <formula>0</formula>
    </cfRule>
  </conditionalFormatting>
  <pageMargins left="0.7" right="0.7" top="0.75" bottom="0.75" header="0.3" footer="0.3"/>
  <pageSetup paperSize="5" orientation="landscape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00B050"/>
  </sheetPr>
  <dimension ref="A1:N21"/>
  <sheetViews>
    <sheetView showGridLines="0" tabSelected="1" zoomScale="85" zoomScaleNormal="85" workbookViewId="0">
      <selection activeCell="H6" sqref="H6"/>
    </sheetView>
  </sheetViews>
  <sheetFormatPr defaultRowHeight="19.5" customHeight="1" x14ac:dyDescent="0.75"/>
  <cols>
    <col min="1" max="1" width="7.140625" style="117" customWidth="1"/>
    <col min="2" max="2" width="9.85546875" style="117" customWidth="1"/>
    <col min="3" max="3" width="11.28515625" style="117" customWidth="1"/>
    <col min="4" max="4" width="16.5703125" style="117" bestFit="1" customWidth="1"/>
    <col min="5" max="5" width="35.140625" style="117" customWidth="1"/>
    <col min="6" max="16384" width="9.140625" style="117"/>
  </cols>
  <sheetData>
    <row r="1" spans="1:14" ht="24" customHeight="1" x14ac:dyDescent="0.75">
      <c r="A1" s="116"/>
      <c r="B1" s="116"/>
      <c r="C1" s="116"/>
      <c r="D1" s="116"/>
      <c r="E1" s="116"/>
      <c r="F1" s="116"/>
    </row>
    <row r="2" spans="1:14" ht="24" customHeight="1" x14ac:dyDescent="0.75">
      <c r="A2" s="116"/>
      <c r="B2" s="116"/>
      <c r="C2" s="116"/>
      <c r="D2" s="116"/>
      <c r="E2" s="116"/>
      <c r="F2" s="116"/>
    </row>
    <row r="3" spans="1:14" ht="42.75" customHeight="1" x14ac:dyDescent="0.9">
      <c r="A3" s="118"/>
      <c r="C3" s="188" t="s">
        <v>6</v>
      </c>
      <c r="D3" s="188"/>
      <c r="E3" s="188"/>
    </row>
    <row r="4" spans="1:14" ht="24" customHeight="1" x14ac:dyDescent="0.75">
      <c r="A4" s="116"/>
      <c r="C4" s="119" t="s">
        <v>73</v>
      </c>
      <c r="D4" s="120" t="s">
        <v>72</v>
      </c>
      <c r="E4" s="119" t="s">
        <v>74</v>
      </c>
    </row>
    <row r="5" spans="1:14" ht="24" customHeight="1" x14ac:dyDescent="0.75">
      <c r="A5" s="116"/>
      <c r="C5" s="121">
        <v>10000</v>
      </c>
      <c r="D5" s="122">
        <v>12</v>
      </c>
      <c r="E5" s="123">
        <f>C5*D5</f>
        <v>120000</v>
      </c>
    </row>
    <row r="6" spans="1:14" ht="24" customHeight="1" x14ac:dyDescent="0.75">
      <c r="A6" s="116"/>
      <c r="C6" s="121">
        <v>5000</v>
      </c>
      <c r="D6" s="122">
        <v>0</v>
      </c>
      <c r="E6" s="123">
        <f t="shared" ref="E6:E15" si="0">C6*D6</f>
        <v>0</v>
      </c>
      <c r="N6" s="117" t="s">
        <v>64</v>
      </c>
    </row>
    <row r="7" spans="1:14" ht="24" customHeight="1" x14ac:dyDescent="0.75">
      <c r="A7" s="118"/>
      <c r="C7" s="121">
        <v>1000</v>
      </c>
      <c r="D7" s="122">
        <v>3</v>
      </c>
      <c r="E7" s="123">
        <f t="shared" si="0"/>
        <v>3000</v>
      </c>
    </row>
    <row r="8" spans="1:14" ht="24" customHeight="1" x14ac:dyDescent="0.75">
      <c r="A8" s="116"/>
      <c r="C8" s="121">
        <v>500</v>
      </c>
      <c r="D8" s="122">
        <v>0</v>
      </c>
      <c r="E8" s="123">
        <f t="shared" si="0"/>
        <v>0</v>
      </c>
    </row>
    <row r="9" spans="1:14" ht="24" customHeight="1" x14ac:dyDescent="0.75">
      <c r="A9" s="116"/>
      <c r="C9" s="121">
        <v>200</v>
      </c>
      <c r="D9" s="122">
        <v>2</v>
      </c>
      <c r="E9" s="123">
        <f t="shared" si="0"/>
        <v>400</v>
      </c>
    </row>
    <row r="10" spans="1:14" ht="24" customHeight="1" x14ac:dyDescent="0.75">
      <c r="A10" s="118"/>
      <c r="C10" s="121">
        <v>100</v>
      </c>
      <c r="D10" s="122">
        <v>0</v>
      </c>
      <c r="E10" s="123">
        <f t="shared" si="0"/>
        <v>0</v>
      </c>
    </row>
    <row r="11" spans="1:14" ht="24" customHeight="1" x14ac:dyDescent="0.75">
      <c r="A11" s="116"/>
      <c r="C11" s="121">
        <v>50</v>
      </c>
      <c r="D11" s="122">
        <v>1</v>
      </c>
      <c r="E11" s="123">
        <f t="shared" si="0"/>
        <v>50</v>
      </c>
    </row>
    <row r="12" spans="1:14" ht="24" customHeight="1" x14ac:dyDescent="0.75">
      <c r="A12" s="118"/>
      <c r="C12" s="121">
        <v>20</v>
      </c>
      <c r="D12" s="122">
        <v>0</v>
      </c>
      <c r="E12" s="123">
        <f t="shared" si="0"/>
        <v>0</v>
      </c>
    </row>
    <row r="13" spans="1:14" ht="24" customHeight="1" x14ac:dyDescent="0.75">
      <c r="A13" s="116"/>
      <c r="C13" s="121">
        <v>10</v>
      </c>
      <c r="D13" s="122">
        <v>0</v>
      </c>
      <c r="E13" s="123">
        <f t="shared" si="0"/>
        <v>0</v>
      </c>
    </row>
    <row r="14" spans="1:14" ht="24" customHeight="1" x14ac:dyDescent="0.75">
      <c r="A14" s="118"/>
      <c r="C14" s="121">
        <v>5</v>
      </c>
      <c r="D14" s="122">
        <v>1</v>
      </c>
      <c r="E14" s="123">
        <f t="shared" si="0"/>
        <v>5</v>
      </c>
    </row>
    <row r="15" spans="1:14" ht="24" customHeight="1" x14ac:dyDescent="0.75">
      <c r="A15" s="116"/>
      <c r="C15" s="121">
        <v>1</v>
      </c>
      <c r="D15" s="122">
        <v>1</v>
      </c>
      <c r="E15" s="123">
        <f t="shared" si="0"/>
        <v>1</v>
      </c>
    </row>
    <row r="16" spans="1:14" ht="24" customHeight="1" x14ac:dyDescent="0.75">
      <c r="A16" s="116"/>
      <c r="C16" s="191" t="s">
        <v>71</v>
      </c>
      <c r="D16" s="192"/>
      <c r="E16" s="124">
        <v>0.78</v>
      </c>
    </row>
    <row r="17" spans="1:5" ht="24" customHeight="1" x14ac:dyDescent="0.75">
      <c r="A17" s="125"/>
      <c r="C17" s="189" t="s">
        <v>75</v>
      </c>
      <c r="D17" s="190"/>
      <c r="E17" s="126">
        <f>SUM(E5:E16)</f>
        <v>123456.78</v>
      </c>
    </row>
    <row r="18" spans="1:5" ht="19.5" customHeight="1" x14ac:dyDescent="0.75">
      <c r="A18" s="127"/>
    </row>
    <row r="19" spans="1:5" ht="30.75" customHeight="1" x14ac:dyDescent="0.75">
      <c r="A19" s="186"/>
      <c r="B19" s="186"/>
      <c r="C19" s="186"/>
      <c r="D19" s="186"/>
      <c r="E19" s="186"/>
    </row>
    <row r="20" spans="1:5" ht="22.5" customHeight="1" x14ac:dyDescent="0.75">
      <c r="A20" s="193"/>
      <c r="B20" s="193"/>
      <c r="C20" s="193"/>
      <c r="D20" s="193"/>
      <c r="E20" s="193"/>
    </row>
    <row r="21" spans="1:5" ht="19.5" customHeight="1" x14ac:dyDescent="0.75">
      <c r="A21" s="187"/>
      <c r="B21" s="187"/>
      <c r="C21" s="187"/>
      <c r="D21" s="187"/>
      <c r="E21" s="187"/>
    </row>
  </sheetData>
  <mergeCells count="6">
    <mergeCell ref="A19:E19"/>
    <mergeCell ref="A21:E21"/>
    <mergeCell ref="C3:E3"/>
    <mergeCell ref="C17:D17"/>
    <mergeCell ref="C16:D16"/>
    <mergeCell ref="A20:E20"/>
  </mergeCells>
  <conditionalFormatting sqref="D5:D15 E16">
    <cfRule type="cellIs" dxfId="0" priority="1" operator="greaterThan">
      <formula>0</formula>
    </cfRule>
  </conditionalFormatting>
  <dataValidations count="1">
    <dataValidation type="decimal" operator="greaterThanOrEqual" allowBlank="1" showInputMessage="1" showErrorMessage="1" errorTitle="Hey! Look out your input number!" error="Only numbers are allowed to set._x000a_Text or negative numbers are not allowed._x000a_Try again!" sqref="D5:D15 E16">
      <formula1>0</formula1>
    </dataValidation>
  </dataValidations>
  <pageMargins left="0.67500000000000004" right="0.25" top="0.75" bottom="0.5" header="0.3" footer="0.3"/>
  <pageSetup scale="92"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alculate_Notes_Click" altText="Set Auto Notes">
                <anchor moveWithCells="1" sizeWithCells="1">
                  <from>
                    <xdr:col>2</xdr:col>
                    <xdr:colOff>38100</xdr:colOff>
                    <xdr:row>0</xdr:row>
                    <xdr:rowOff>85725</xdr:rowOff>
                  </from>
                  <to>
                    <xdr:col>5</xdr:col>
                    <xdr:colOff>38100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L19" sqref="L19"/>
    </sheetView>
  </sheetViews>
  <sheetFormatPr defaultRowHeight="15" x14ac:dyDescent="0.25"/>
  <sheetData>
    <row r="1" spans="1:1" x14ac:dyDescent="0.25">
      <c r="A1" s="65" t="s">
        <v>41</v>
      </c>
    </row>
  </sheetData>
  <hyperlinks>
    <hyperlink ref="A1" r:id="rId1"/>
  </hyperlinks>
  <pageMargins left="0.7" right="0.7" top="0.75" bottom="0.75" header="0.3" footer="0.3"/>
  <pageSetup orientation="portrait" horizontalDpi="300" verticalDpi="30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N27"/>
  <sheetViews>
    <sheetView showGridLines="0" workbookViewId="0">
      <selection activeCell="H15" sqref="H15:J15"/>
    </sheetView>
  </sheetViews>
  <sheetFormatPr defaultRowHeight="13.5" x14ac:dyDescent="0.25"/>
  <cols>
    <col min="1" max="1" width="4.140625" style="67" customWidth="1"/>
    <col min="2" max="2" width="25.85546875" style="67" customWidth="1"/>
    <col min="3" max="3" width="13.140625" style="67" customWidth="1"/>
    <col min="4" max="5" width="12.85546875" style="67" customWidth="1"/>
    <col min="6" max="6" width="2.5703125" style="67" customWidth="1"/>
    <col min="7" max="7" width="2.42578125" style="67" customWidth="1"/>
    <col min="8" max="8" width="4.140625" style="67" customWidth="1"/>
    <col min="9" max="9" width="25.85546875" style="67" customWidth="1"/>
    <col min="10" max="10" width="13.140625" style="67" customWidth="1"/>
    <col min="11" max="12" width="12.85546875" style="67" customWidth="1"/>
    <col min="13" max="16384" width="9.140625" style="67"/>
  </cols>
  <sheetData>
    <row r="1" spans="1:14" ht="17.25" x14ac:dyDescent="0.25">
      <c r="A1" s="194" t="s">
        <v>63</v>
      </c>
      <c r="B1" s="194"/>
      <c r="C1" s="194"/>
      <c r="D1" s="194"/>
      <c r="E1" s="194"/>
      <c r="F1" s="66"/>
      <c r="H1" s="194" t="str">
        <f>A1</f>
        <v>သမ၀ါယမ</v>
      </c>
      <c r="I1" s="194"/>
      <c r="J1" s="194"/>
      <c r="K1" s="194"/>
      <c r="L1" s="194"/>
      <c r="M1" s="68"/>
      <c r="N1" s="68"/>
    </row>
    <row r="2" spans="1:14" ht="15" x14ac:dyDescent="0.25">
      <c r="A2" s="195" t="s">
        <v>42</v>
      </c>
      <c r="B2" s="195"/>
      <c r="C2" s="195"/>
      <c r="D2" s="195"/>
      <c r="E2" s="195"/>
      <c r="F2" s="66"/>
      <c r="H2" s="195" t="str">
        <f>A2</f>
        <v>ပုသိမ္ၿမိဳ႔။</v>
      </c>
      <c r="I2" s="195"/>
      <c r="J2" s="195"/>
      <c r="K2" s="195"/>
      <c r="L2" s="195"/>
    </row>
    <row r="3" spans="1:14" x14ac:dyDescent="0.25">
      <c r="A3" s="196" t="s">
        <v>43</v>
      </c>
      <c r="B3" s="196"/>
      <c r="C3" s="196"/>
      <c r="D3" s="196"/>
      <c r="E3" s="196"/>
      <c r="F3" s="66"/>
      <c r="H3" s="196" t="str">
        <f>A3</f>
        <v>ပံုစံ/႐ံုးသံုးစာေရးကိရိယာပစၥည္း/ပရိေဘာဂထုတ္ေျပစာ</v>
      </c>
      <c r="I3" s="196"/>
      <c r="J3" s="196"/>
      <c r="K3" s="196"/>
      <c r="L3" s="196"/>
    </row>
    <row r="4" spans="1:14" ht="27.75" customHeight="1" x14ac:dyDescent="0.25">
      <c r="E4" s="69" t="s">
        <v>60</v>
      </c>
      <c r="F4" s="66"/>
      <c r="L4" s="69" t="str">
        <f>E4</f>
        <v>ရက္စြဲ၊………...……………..</v>
      </c>
    </row>
    <row r="5" spans="1:14" ht="40.5" x14ac:dyDescent="0.25">
      <c r="A5" s="70" t="s">
        <v>44</v>
      </c>
      <c r="B5" s="70" t="s">
        <v>45</v>
      </c>
      <c r="C5" s="71" t="s">
        <v>62</v>
      </c>
      <c r="D5" s="71" t="s">
        <v>46</v>
      </c>
      <c r="E5" s="70" t="s">
        <v>47</v>
      </c>
      <c r="F5" s="66"/>
      <c r="H5" s="70" t="str">
        <f>A5</f>
        <v>စဥ္</v>
      </c>
      <c r="I5" s="70" t="str">
        <f>B5</f>
        <v>ပစၥည္းအမ်ဳိးအမည္</v>
      </c>
      <c r="J5" s="71" t="str">
        <f>C5</f>
        <v>ေတာင္းခံသည့္
အေရအတြက္</v>
      </c>
      <c r="K5" s="71" t="str">
        <f>D5</f>
        <v>ထုတ္ေပးသည့္
အေရအတြက္</v>
      </c>
      <c r="L5" s="70" t="str">
        <f>E5</f>
        <v>မွတ္ခ်က္</v>
      </c>
    </row>
    <row r="6" spans="1:14" ht="20.25" customHeight="1" x14ac:dyDescent="0.25">
      <c r="A6" s="72"/>
      <c r="B6" s="72"/>
      <c r="C6" s="72"/>
      <c r="D6" s="72"/>
      <c r="E6" s="72"/>
      <c r="F6" s="66"/>
      <c r="H6" s="72"/>
      <c r="I6" s="72"/>
      <c r="J6" s="72"/>
      <c r="K6" s="72"/>
      <c r="L6" s="72"/>
    </row>
    <row r="7" spans="1:14" ht="20.25" customHeight="1" x14ac:dyDescent="0.25">
      <c r="A7" s="72"/>
      <c r="B7" s="72"/>
      <c r="C7" s="72"/>
      <c r="D7" s="72"/>
      <c r="E7" s="72"/>
      <c r="F7" s="66"/>
      <c r="H7" s="72"/>
      <c r="I7" s="72"/>
      <c r="J7" s="72"/>
      <c r="K7" s="72"/>
      <c r="L7" s="72"/>
    </row>
    <row r="8" spans="1:14" ht="20.25" customHeight="1" x14ac:dyDescent="0.25">
      <c r="A8" s="72"/>
      <c r="B8" s="72"/>
      <c r="C8" s="72"/>
      <c r="D8" s="72"/>
      <c r="E8" s="72"/>
      <c r="F8" s="66"/>
      <c r="H8" s="72"/>
      <c r="I8" s="72"/>
      <c r="J8" s="72"/>
      <c r="K8" s="72"/>
      <c r="L8" s="72"/>
    </row>
    <row r="9" spans="1:14" ht="20.25" customHeight="1" x14ac:dyDescent="0.25">
      <c r="A9" s="72"/>
      <c r="B9" s="72"/>
      <c r="C9" s="72"/>
      <c r="D9" s="72"/>
      <c r="E9" s="72"/>
      <c r="F9" s="66"/>
      <c r="H9" s="72"/>
      <c r="I9" s="72"/>
      <c r="J9" s="72"/>
      <c r="K9" s="72"/>
      <c r="L9" s="72"/>
    </row>
    <row r="10" spans="1:14" ht="20.25" customHeight="1" x14ac:dyDescent="0.25">
      <c r="A10" s="72"/>
      <c r="B10" s="72"/>
      <c r="C10" s="72"/>
      <c r="D10" s="72"/>
      <c r="E10" s="72"/>
      <c r="F10" s="66"/>
      <c r="H10" s="72"/>
      <c r="I10" s="72"/>
      <c r="J10" s="72"/>
      <c r="K10" s="72"/>
      <c r="L10" s="72"/>
    </row>
    <row r="11" spans="1:14" x14ac:dyDescent="0.25">
      <c r="B11" s="197" t="s">
        <v>48</v>
      </c>
      <c r="C11" s="197"/>
      <c r="D11" s="197"/>
      <c r="E11" s="197"/>
      <c r="F11" s="66"/>
      <c r="I11" s="197" t="str">
        <f>B11</f>
        <v>အထက္ပါပစၥည္း(         )မ်ဳိးလိုအပ္ေၾကာင္းမွန္ကန္ပါသည္။</v>
      </c>
      <c r="J11" s="197"/>
      <c r="K11" s="197"/>
      <c r="L11" s="197"/>
    </row>
    <row r="12" spans="1:14" x14ac:dyDescent="0.25">
      <c r="F12" s="66"/>
    </row>
    <row r="13" spans="1:14" ht="21.75" customHeight="1" x14ac:dyDescent="0.25">
      <c r="A13" s="198" t="s">
        <v>56</v>
      </c>
      <c r="B13" s="198"/>
      <c r="C13" s="198"/>
      <c r="D13" s="199" t="s">
        <v>52</v>
      </c>
      <c r="E13" s="199"/>
      <c r="F13" s="66"/>
      <c r="H13" s="198" t="str">
        <f>A13</f>
        <v>ေတာင္းခံသူလက္မွတ္………………………………………</v>
      </c>
      <c r="I13" s="198"/>
      <c r="J13" s="198"/>
      <c r="K13" s="199" t="str">
        <f>D13</f>
        <v>မန္ေနဂ်ာ</v>
      </c>
      <c r="L13" s="199"/>
    </row>
    <row r="14" spans="1:14" ht="23.25" customHeight="1" x14ac:dyDescent="0.25">
      <c r="A14" s="198" t="s">
        <v>57</v>
      </c>
      <c r="B14" s="198"/>
      <c r="C14" s="198"/>
      <c r="D14" s="199"/>
      <c r="E14" s="199"/>
      <c r="F14" s="66"/>
      <c r="H14" s="198" t="str">
        <f t="shared" ref="H14:H15" si="0">A14</f>
        <v>အမည္                      ……………………………………….</v>
      </c>
      <c r="I14" s="198"/>
      <c r="J14" s="198"/>
      <c r="K14" s="199"/>
      <c r="L14" s="199"/>
    </row>
    <row r="15" spans="1:14" ht="22.5" customHeight="1" x14ac:dyDescent="0.3">
      <c r="A15" s="198" t="s">
        <v>58</v>
      </c>
      <c r="B15" s="198"/>
      <c r="C15" s="198"/>
      <c r="D15" s="200" t="s">
        <v>59</v>
      </c>
      <c r="E15" s="200"/>
      <c r="F15" s="66"/>
      <c r="H15" s="198" t="str">
        <f t="shared" si="0"/>
        <v>ဘဏ္ခြဲအမည္/ဌာန  ………………………………………..</v>
      </c>
      <c r="I15" s="198"/>
      <c r="J15" s="198"/>
      <c r="K15" s="200" t="str">
        <f>D15</f>
        <v>………………...    ဘဏ္ခြဲအမည္/ဌာန</v>
      </c>
      <c r="L15" s="201"/>
    </row>
    <row r="16" spans="1:14" x14ac:dyDescent="0.25">
      <c r="A16" s="198"/>
      <c r="B16" s="198"/>
      <c r="C16" s="198"/>
      <c r="D16" s="198"/>
      <c r="F16" s="66"/>
      <c r="H16" s="198"/>
      <c r="I16" s="198"/>
      <c r="J16" s="198"/>
      <c r="K16" s="198"/>
    </row>
    <row r="17" spans="1:12" x14ac:dyDescent="0.25">
      <c r="A17" s="198" t="s">
        <v>51</v>
      </c>
      <c r="B17" s="198"/>
      <c r="C17" s="198"/>
      <c r="D17" s="198"/>
      <c r="F17" s="66"/>
      <c r="H17" s="198" t="str">
        <f>A17</f>
        <v>ေတာင္းခံသည့္ပစၥည္း(          )မ်ဳိးကို စိစစ္ထုတ္ေပးရန္ ခြင့္ျပဳသည္။</v>
      </c>
      <c r="I17" s="198"/>
      <c r="J17" s="198"/>
      <c r="K17" s="198"/>
    </row>
    <row r="18" spans="1:12" x14ac:dyDescent="0.25">
      <c r="F18" s="66"/>
    </row>
    <row r="19" spans="1:12" x14ac:dyDescent="0.25">
      <c r="D19" s="199" t="s">
        <v>52</v>
      </c>
      <c r="E19" s="199"/>
      <c r="F19" s="66"/>
      <c r="K19" s="199" t="str">
        <f>D19</f>
        <v>မန္ေနဂ်ာ</v>
      </c>
      <c r="L19" s="199"/>
    </row>
    <row r="20" spans="1:12" x14ac:dyDescent="0.25">
      <c r="D20" s="199" t="s">
        <v>53</v>
      </c>
      <c r="E20" s="199"/>
      <c r="F20" s="66"/>
      <c r="K20" s="199" t="str">
        <f>D20</f>
        <v>စီမံေရးရာ ဌာန</v>
      </c>
      <c r="L20" s="199"/>
    </row>
    <row r="21" spans="1:12" x14ac:dyDescent="0.25">
      <c r="F21" s="66"/>
    </row>
    <row r="22" spans="1:12" x14ac:dyDescent="0.25">
      <c r="D22" s="69" t="s">
        <v>54</v>
      </c>
      <c r="E22" s="67" t="s">
        <v>61</v>
      </c>
      <c r="F22" s="66"/>
      <c r="K22" s="69" t="str">
        <f>D22</f>
        <v>ရရွိသူလက္မွတ္</v>
      </c>
      <c r="L22" s="69" t="str">
        <f>E22</f>
        <v>…………..…………</v>
      </c>
    </row>
    <row r="23" spans="1:12" ht="25.5" customHeight="1" x14ac:dyDescent="0.25">
      <c r="D23" s="69" t="s">
        <v>49</v>
      </c>
      <c r="E23" s="67" t="s">
        <v>61</v>
      </c>
      <c r="F23" s="66"/>
      <c r="K23" s="69" t="str">
        <f t="shared" ref="K23:L24" si="1">D23</f>
        <v>အမည္</v>
      </c>
      <c r="L23" s="69" t="str">
        <f t="shared" si="1"/>
        <v>…………..…………</v>
      </c>
    </row>
    <row r="24" spans="1:12" ht="25.5" customHeight="1" x14ac:dyDescent="0.25">
      <c r="D24" s="69" t="s">
        <v>50</v>
      </c>
      <c r="E24" s="67" t="s">
        <v>55</v>
      </c>
      <c r="F24" s="66"/>
      <c r="K24" s="69" t="str">
        <f t="shared" si="1"/>
        <v>ဘဏ္ခြဲအမည္/ဌာန</v>
      </c>
      <c r="L24" s="69" t="str">
        <f t="shared" si="1"/>
        <v>…………………….</v>
      </c>
    </row>
    <row r="25" spans="1:12" x14ac:dyDescent="0.25">
      <c r="F25" s="66"/>
    </row>
    <row r="26" spans="1:12" x14ac:dyDescent="0.25">
      <c r="F26" s="66"/>
    </row>
    <row r="27" spans="1:12" x14ac:dyDescent="0.25">
      <c r="F27" s="66"/>
    </row>
  </sheetData>
  <mergeCells count="26">
    <mergeCell ref="A17:D17"/>
    <mergeCell ref="H17:K17"/>
    <mergeCell ref="D19:E19"/>
    <mergeCell ref="K19:L19"/>
    <mergeCell ref="D20:E20"/>
    <mergeCell ref="K20:L20"/>
    <mergeCell ref="A15:C15"/>
    <mergeCell ref="D15:E15"/>
    <mergeCell ref="H15:J15"/>
    <mergeCell ref="K15:L15"/>
    <mergeCell ref="A16:D16"/>
    <mergeCell ref="H16:K16"/>
    <mergeCell ref="B11:E11"/>
    <mergeCell ref="I11:L11"/>
    <mergeCell ref="A13:C13"/>
    <mergeCell ref="D13:E14"/>
    <mergeCell ref="H13:J13"/>
    <mergeCell ref="K13:L14"/>
    <mergeCell ref="A14:C14"/>
    <mergeCell ref="H14:J14"/>
    <mergeCell ref="A1:E1"/>
    <mergeCell ref="H1:L1"/>
    <mergeCell ref="A2:E2"/>
    <mergeCell ref="H2:L2"/>
    <mergeCell ref="A3:E3"/>
    <mergeCell ref="H3:L3"/>
  </mergeCells>
  <pageMargins left="0" right="0" top="0.25" bottom="0.25" header="0.3" footer="0.3"/>
  <pageSetup paperSize="9" orientation="landscape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CT (OLD)</vt:lpstr>
      <vt:lpstr>BALANCE SHEET(unused)</vt:lpstr>
      <vt:lpstr>payment 2(unused)</vt:lpstr>
      <vt:lpstr>Notes</vt:lpstr>
      <vt:lpstr>Sheet1</vt:lpstr>
      <vt:lpstr>Local Intern Form (2)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CBBank</dc:creator>
  <cp:lastModifiedBy>User</cp:lastModifiedBy>
  <cp:lastPrinted>2023-01-03T13:44:52Z</cp:lastPrinted>
  <dcterms:created xsi:type="dcterms:W3CDTF">2006-09-16T00:00:00Z</dcterms:created>
  <dcterms:modified xsi:type="dcterms:W3CDTF">2023-01-03T15:59:20Z</dcterms:modified>
</cp:coreProperties>
</file>